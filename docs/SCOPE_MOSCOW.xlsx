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Scope" sheetId="2" state="visible" r:id="rId2"/>
    <sheet name="Summary" sheetId="3" state="visible" r:id="rId3"/>
  </sheets>
  <definedNames>
    <definedName name="_xlnm._FilterDatabase" localSheetId="1" hidden="1">'Scope'!$A$1:$H$300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A4A5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5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4CCCC"/>
          <bgColor rgb="00F4CCCC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E0E0E0"/>
          <bgColor rgb="00E0E0E0"/>
        </patternFill>
      </fill>
    </dxf>
    <dxf>
      <font>
        <name val="Arial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H1" authorId="0" shapeId="0">
      <text>
        <t>Owner = decided by the owner. Claude (proposed) = a suggestion awaiting the owner's call: promote, demote or delete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walkgrid scope (MoSCoW)</t>
        </is>
      </c>
    </row>
    <row r="2">
      <c r="A2" s="2" t="inlineStr"/>
    </row>
    <row r="3">
      <c r="A3" s="3" t="inlineStr">
        <is>
          <t>Horizon (edit this): the first functional test -- walk a faceted, textured, lit world, hear footsteps with the music, place and remove ground, at 60 fps or better on the owner's PC.</t>
        </is>
      </c>
    </row>
    <row r="4">
      <c r="A4" s="2" t="inlineStr"/>
    </row>
    <row r="5">
      <c r="A5" s="2" t="inlineStr">
        <is>
          <t>Must -- the horizon fails without it.</t>
        </is>
      </c>
    </row>
    <row r="6">
      <c r="A6" s="2" t="inlineStr">
        <is>
          <t>Should -- important, but the horizon still works without it.</t>
        </is>
      </c>
    </row>
    <row r="7">
      <c r="A7" s="2" t="inlineStr">
        <is>
          <t>Could -- nice to have if it's cheap; first to drop.</t>
        </is>
      </c>
    </row>
    <row r="8">
      <c r="A8" s="2" t="inlineStr">
        <is>
          <t>Won't -- not this horizon (parked, not rejected). The dev pile lives here.</t>
        </is>
      </c>
    </row>
    <row r="9">
      <c r="A9" s="2" t="inlineStr"/>
    </row>
    <row r="10">
      <c r="A10" s="4" t="inlineStr">
        <is>
          <t>How we use it</t>
        </is>
      </c>
    </row>
    <row r="11">
      <c r="A11" s="2" t="inlineStr">
        <is>
          <t>1. Before new work starts, it needs a row here. New ideas enter as Could or Won't unless the owner says otherwise.</t>
        </is>
      </c>
    </row>
    <row r="12">
      <c r="A12" s="2" t="inlineStr">
        <is>
          <t>2. Only the owner sets Must. Claude's suggestions say 'Claude (proposed)' in Decided by until the owner decides.</t>
        </is>
      </c>
    </row>
    <row r="13">
      <c r="A13" s="2" t="inlineStr">
        <is>
          <t>3. Priority and Status are drop-downs; Summary counts update by themselves.</t>
        </is>
      </c>
    </row>
    <row r="14">
      <c r="A14" s="2" t="inlineStr">
        <is>
          <t>4. Add a row at the bottom of Scope with the next ID (S040, S041, ...). Example: S040 | Audio | Footstep volume option | Could | Not started | Only if footfalls stay | 10.4 | Owner</t>
        </is>
      </c>
    </row>
    <row r="15">
      <c r="A15" s="2" t="inlineStr">
        <is>
          <t>5. When a horizon ships, move its Won'ts up for review and set a new horizon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58" customWidth="1" min="3" max="3"/>
    <col width="11" customWidth="1" min="4" max="4"/>
    <col width="13" customWidth="1" min="5" max="5"/>
    <col width="52" customWidth="1" min="6" max="6"/>
    <col width="13" customWidth="1" min="7" max="7"/>
    <col width="17" customWidth="1" min="8" max="8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Item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Notes / boundary</t>
        </is>
      </c>
      <c r="G1" s="5" t="inlineStr">
        <is>
          <t>Design ref</t>
        </is>
      </c>
      <c r="H1" s="5" t="inlineStr">
        <is>
          <t>Decided by</t>
        </is>
      </c>
    </row>
    <row r="2">
      <c r="A2" s="6" t="inlineStr">
        <is>
          <t>W001</t>
        </is>
      </c>
      <c r="B2" s="6" t="inlineStr">
        <is>
          <t>Process</t>
        </is>
      </c>
      <c r="C2" s="6" t="inlineStr">
        <is>
          <t>Engine review, prototype outline, foundations</t>
        </is>
      </c>
      <c r="D2" s="6" t="inlineStr">
        <is>
          <t>Must</t>
        </is>
      </c>
      <c r="E2" s="6" t="inlineStr">
        <is>
          <t>Done</t>
        </is>
      </c>
      <c r="F2" s="6" t="inlineStr">
        <is>
          <t>docs/ENGINE_REVIEW.md, PROTOTYPE_OUTLINE.md, FOUNDATIONS.md</t>
        </is>
      </c>
      <c r="G2" s="6" t="inlineStr">
        <is>
          <t>Foundations</t>
        </is>
      </c>
      <c r="H2" s="6" t="inlineStr">
        <is>
          <t>Owner</t>
        </is>
      </c>
    </row>
    <row r="3">
      <c r="A3" s="6" t="inlineStr">
        <is>
          <t>W002</t>
        </is>
      </c>
      <c r="B3" s="6" t="inlineStr">
        <is>
          <t>Process</t>
        </is>
      </c>
      <c r="C3" s="6" t="inlineStr">
        <is>
          <t>Plan, approve, build, check; say plainly what wasn't verified</t>
        </is>
      </c>
      <c r="D3" s="6" t="inlineStr">
        <is>
          <t>Must</t>
        </is>
      </c>
      <c r="E3" s="6" t="inlineStr">
        <is>
          <t>In progress</t>
        </is>
      </c>
      <c r="F3" s="6" t="inlineStr">
        <is>
          <t>Standing rule, never 'done'</t>
        </is>
      </c>
      <c r="G3" s="6" t="inlineStr">
        <is>
          <t>Foundations 1</t>
        </is>
      </c>
      <c r="H3" s="6" t="inlineStr">
        <is>
          <t>Owner</t>
        </is>
      </c>
    </row>
    <row r="4">
      <c r="A4" s="6" t="inlineStr">
        <is>
          <t>W003</t>
        </is>
      </c>
      <c r="B4" s="6" t="inlineStr">
        <is>
          <t>Engine</t>
        </is>
      </c>
      <c r="C4" s="6" t="inlineStr">
        <is>
          <t>Carry the Voxistics engine across intact; take only the Voxistics game layer off (M0)</t>
        </is>
      </c>
      <c r="D4" s="6" t="inlineStr">
        <is>
          <t>Must</t>
        </is>
      </c>
      <c r="E4" s="6" t="inlineStr">
        <is>
          <t>Done</t>
        </is>
      </c>
      <c r="F4" s="6" t="inlineStr">
        <is>
          <t>M0 done, run on the owner's machine 2026-09-25</t>
        </is>
      </c>
      <c r="G4" s="6" t="inlineStr">
        <is>
          <t>Engine review 3</t>
        </is>
      </c>
      <c r="H4" s="6" t="inlineStr">
        <is>
          <t>Owner</t>
        </is>
      </c>
    </row>
    <row r="5">
      <c r="A5" s="6" t="inlineStr">
        <is>
          <t>W004</t>
        </is>
      </c>
      <c r="B5" s="6" t="inlineStr">
        <is>
          <t>Engine</t>
        </is>
      </c>
      <c r="C5" s="6" t="inlineStr">
        <is>
          <t>Lots of action without lag: cost scales with what's on screen or changing</t>
        </is>
      </c>
      <c r="D5" s="6" t="inlineStr">
        <is>
          <t>Must</t>
        </is>
      </c>
      <c r="E5" s="6" t="inlineStr">
        <is>
          <t>In progress</t>
        </is>
      </c>
      <c r="F5" s="6" t="inlineStr">
        <is>
          <t>Standing rule, never 'done'</t>
        </is>
      </c>
      <c r="G5" s="6" t="inlineStr">
        <is>
          <t>Foundations 4</t>
        </is>
      </c>
      <c r="H5" s="6" t="inlineStr">
        <is>
          <t>Owner</t>
        </is>
      </c>
    </row>
    <row r="6">
      <c r="A6" s="6" t="inlineStr">
        <is>
          <t>W005</t>
        </is>
      </c>
      <c r="B6" s="6" t="inlineStr">
        <is>
          <t>Engine</t>
        </is>
      </c>
      <c r="C6" s="6" t="inlineStr">
        <is>
          <t>60 fps floor; higher where the machine allows, with no jitter (interpolated rendering)</t>
        </is>
      </c>
      <c r="D6" s="6" t="inlineStr">
        <is>
          <t>Must</t>
        </is>
      </c>
      <c r="E6" s="6" t="inlineStr">
        <is>
          <t>In progress</t>
        </is>
      </c>
      <c r="F6" s="6" t="inlineStr">
        <is>
          <t>Interpolated rendering in M0.12; frame cap only with vsync off</t>
        </is>
      </c>
      <c r="G6" s="6" t="inlineStr">
        <is>
          <t>Outline D10</t>
        </is>
      </c>
      <c r="H6" s="6" t="inlineStr">
        <is>
          <t>Owner</t>
        </is>
      </c>
    </row>
    <row r="7">
      <c r="A7" s="6" t="inlineStr">
        <is>
          <t>W006</t>
        </is>
      </c>
      <c r="B7" s="6" t="inlineStr">
        <is>
          <t>Engine</t>
        </is>
      </c>
      <c r="C7" s="6" t="inlineStr">
        <is>
          <t>Working name walkgrid: project, window, save folder</t>
        </is>
      </c>
      <c r="D7" s="6" t="inlineStr">
        <is>
          <t>Must</t>
        </is>
      </c>
      <c r="E7" s="6" t="inlineStr">
        <is>
          <t>Done</t>
        </is>
      </c>
      <c r="F7" s="6" t="inlineStr">
        <is>
          <t>M0.10</t>
        </is>
      </c>
      <c r="G7" s="6" t="inlineStr">
        <is>
          <t>Outline D11</t>
        </is>
      </c>
      <c r="H7" s="6" t="inlineStr">
        <is>
          <t>Owner</t>
        </is>
      </c>
    </row>
    <row r="8">
      <c r="A8" s="6" t="inlineStr">
        <is>
          <t>W007</t>
        </is>
      </c>
      <c r="B8" s="6" t="inlineStr">
        <is>
          <t>Engine</t>
        </is>
      </c>
      <c r="C8" s="6" t="inlineStr">
        <is>
          <t>Layer rule plus tools/check_layers.sh</t>
        </is>
      </c>
      <c r="D8" s="6" t="inlineStr">
        <is>
          <t>Must</t>
        </is>
      </c>
      <c r="E8" s="6" t="inlineStr">
        <is>
          <t>Done</t>
        </is>
      </c>
      <c r="F8" s="6" t="inlineStr">
        <is>
          <t>0 violations; check_layers.py runs in tests/run.sh</t>
        </is>
      </c>
      <c r="G8" s="6" t="inlineStr">
        <is>
          <t>Foundations 2</t>
        </is>
      </c>
      <c r="H8" s="6" t="inlineStr">
        <is>
          <t>Owner</t>
        </is>
      </c>
    </row>
    <row r="9">
      <c r="A9" s="6" t="inlineStr">
        <is>
          <t>W008</t>
        </is>
      </c>
      <c r="B9" s="6" t="inlineStr">
        <is>
          <t>Engine</t>
        </is>
      </c>
      <c r="C9" s="6" t="inlineStr">
        <is>
          <t>Thread model: main thread owns world and graphics; 2 job threads build from copies; version stamps</t>
        </is>
      </c>
      <c r="D9" s="6" t="inlineStr">
        <is>
          <t>Must</t>
        </is>
      </c>
      <c r="E9" s="6" t="inlineStr">
        <is>
          <t>In progress</t>
        </is>
      </c>
      <c r="F9" s="6" t="inlineStr">
        <is>
          <t>jobs.h (M1.4): terrain on job threads with epochs; meshes from M1.5</t>
        </is>
      </c>
      <c r="G9" s="6" t="inlineStr">
        <is>
          <t>Foundations 3</t>
        </is>
      </c>
      <c r="H9" s="6" t="inlineStr">
        <is>
          <t>Owner</t>
        </is>
      </c>
    </row>
    <row r="10">
      <c r="A10" s="6" t="inlineStr">
        <is>
          <t>W009</t>
        </is>
      </c>
      <c r="B10" s="6" t="inlineStr">
        <is>
          <t>Engine</t>
        </is>
      </c>
      <c r="C10" s="6" t="inlineStr">
        <is>
          <t>Fresh walkgrid save format v1 (no Voxistics loaders)</t>
        </is>
      </c>
      <c r="D10" s="6" t="inlineStr">
        <is>
          <t>Must</t>
        </is>
      </c>
      <c r="E10" s="6" t="inlineStr">
        <is>
          <t>Done</t>
        </is>
      </c>
      <c r="F10" s="6" t="inlineStr">
        <is>
          <t>M0.9: worldfile v1 with a game section; Voxistics loaders removed</t>
        </is>
      </c>
      <c r="G10" s="6" t="inlineStr">
        <is>
          <t>Foundations 5</t>
        </is>
      </c>
      <c r="H10" s="6" t="inlineStr">
        <is>
          <t>Owner</t>
        </is>
      </c>
    </row>
    <row r="11">
      <c r="A11" s="6" t="inlineStr">
        <is>
          <t>W010</t>
        </is>
      </c>
      <c r="B11" s="6" t="inlineStr">
        <is>
          <t>Engine</t>
        </is>
      </c>
      <c r="C11" s="6" t="inlineStr">
        <is>
          <t>Camera-relative rendering (no jitter far from the start)</t>
        </is>
      </c>
      <c r="D11" s="6" t="inlineStr">
        <is>
          <t>Must</t>
        </is>
      </c>
      <c r="E11" s="6" t="inlineStr">
        <is>
          <t>Done</t>
        </is>
      </c>
      <c r="F11" s="6" t="inlineStr">
        <is>
          <t>M0.13, with a native test</t>
        </is>
      </c>
      <c r="G11" s="6" t="inlineStr">
        <is>
          <t>Foundations 4.2</t>
        </is>
      </c>
      <c r="H11" s="6" t="inlineStr">
        <is>
          <t>Owner</t>
        </is>
      </c>
    </row>
    <row r="12">
      <c r="A12" s="6" t="inlineStr">
        <is>
          <t>W011</t>
        </is>
      </c>
      <c r="B12" s="6" t="inlineStr">
        <is>
          <t>Engine</t>
        </is>
      </c>
      <c r="C12" s="6" t="inlineStr">
        <is>
          <t>Budgets per frame shown in F3</t>
        </is>
      </c>
      <c r="D12" s="6" t="inlineStr">
        <is>
          <t>Must</t>
        </is>
      </c>
      <c r="E12" s="6" t="inlineStr">
        <is>
          <t>Not started</t>
        </is>
      </c>
      <c r="F12" s="6" t="inlineStr">
        <is>
          <t>Numbers are conservative assumptions; tuned only from reports the owner chooses to share</t>
        </is>
      </c>
      <c r="G12" s="6" t="inlineStr">
        <is>
          <t>Foundations 4</t>
        </is>
      </c>
      <c r="H12" s="6" t="inlineStr">
        <is>
          <t>Owner</t>
        </is>
      </c>
    </row>
    <row r="13">
      <c r="A13" s="6" t="inlineStr">
        <is>
          <t>W012</t>
        </is>
      </c>
      <c r="B13" s="6" t="inlineStr">
        <is>
          <t>World</t>
        </is>
      </c>
      <c r="C13" s="6" t="inlineStr">
        <is>
          <t>Faceted surface over the existing grid (option A), not cubes, not blobs</t>
        </is>
      </c>
      <c r="D13" s="6" t="inlineStr">
        <is>
          <t>Must</t>
        </is>
      </c>
      <c r="E13" s="6" t="inlineStr">
        <is>
          <t>In progress</t>
        </is>
      </c>
      <c r="F13" s="6" t="inlineStr">
        <is>
          <t>In game from M1.5 (groundmesh.h, world shader); collision and picking in M1.7</t>
        </is>
      </c>
      <c r="G13" s="6" t="inlineStr">
        <is>
          <t>Outline 3</t>
        </is>
      </c>
      <c r="H13" s="6" t="inlineStr">
        <is>
          <t>Owner</t>
        </is>
      </c>
    </row>
    <row r="14">
      <c r="A14" s="6" t="inlineStr">
        <is>
          <t>W013</t>
        </is>
      </c>
      <c r="B14" s="6" t="inlineStr">
        <is>
          <t>World</t>
        </is>
      </c>
      <c r="C14" s="6" t="inlineStr">
        <is>
          <t>Smaller ground triangles near the player without hurting performance</t>
        </is>
      </c>
      <c r="D14" s="6" t="inlineStr">
        <is>
          <t>Must</t>
        </is>
      </c>
      <c r="E14" s="6" t="inlineStr">
        <is>
          <t>In progress</t>
        </is>
      </c>
      <c r="F14" s="6" t="inlineStr">
        <is>
          <t>Detail cut on lumpy materials only; stitched; 308k tris within 96 blocks in the preview</t>
        </is>
      </c>
      <c r="G14" s="6" t="inlineStr">
        <is>
          <t>Foundations 4.1</t>
        </is>
      </c>
      <c r="H14" s="6" t="inlineStr">
        <is>
          <t>Owner</t>
        </is>
      </c>
    </row>
    <row r="15">
      <c r="A15" s="6" t="inlineStr">
        <is>
          <t>W014</t>
        </is>
      </c>
      <c r="B15" s="6" t="inlineStr">
        <is>
          <t>World</t>
        </is>
      </c>
      <c r="C15" s="6" t="inlineStr">
        <is>
          <t>Walk around: walk, sprint, crouch, jump, slide on facets</t>
        </is>
      </c>
      <c r="D15" s="6" t="inlineStr">
        <is>
          <t>Must</t>
        </is>
      </c>
      <c r="E15" s="6" t="inlineStr">
        <is>
          <t>In progress</t>
        </is>
      </c>
      <c r="F15" s="6" t="inlineStr">
        <is>
          <t>On facets from M1.7 (collide.h, D39); scripted walks clean; owner to judge the feel (T6)</t>
        </is>
      </c>
      <c r="G15" s="6" t="inlineStr">
        <is>
          <t>Outline 5</t>
        </is>
      </c>
      <c r="H15" s="6" t="inlineStr">
        <is>
          <t>Owner</t>
        </is>
      </c>
    </row>
    <row r="16">
      <c r="A16" s="6" t="inlineStr">
        <is>
          <t>W015</t>
        </is>
      </c>
      <c r="B16" s="6" t="inlineStr">
        <is>
          <t>World</t>
        </is>
      </c>
      <c r="C16" s="6" t="inlineStr">
        <is>
          <t>Place and remove ground, one cell at a time, where the crosshair points</t>
        </is>
      </c>
      <c r="D16" s="6" t="inlineStr">
        <is>
          <t>Must</t>
        </is>
      </c>
      <c r="E16" s="6" t="inlineStr">
        <is>
          <t>In progress</t>
        </is>
      </c>
      <c r="F16" s="6" t="inlineStr">
        <is>
          <t>Picking on facets from M1.7; owner to check it lands where aimed (T8)</t>
        </is>
      </c>
      <c r="G16" s="6" t="inlineStr">
        <is>
          <t>Outline 5</t>
        </is>
      </c>
      <c r="H16" s="6" t="inlineStr">
        <is>
          <t>Owner</t>
        </is>
      </c>
    </row>
    <row r="17">
      <c r="A17" s="6" t="inlineStr">
        <is>
          <t>W016</t>
        </is>
      </c>
      <c r="B17" s="6" t="inlineStr">
        <is>
          <t>World</t>
        </is>
      </c>
      <c r="C17" s="6" t="inlineStr">
        <is>
          <t>Seeded test landscape: meadow, dirt, stone, sand regions</t>
        </is>
      </c>
      <c r="D17" s="6" t="inlineStr">
        <is>
          <t>Should</t>
        </is>
      </c>
      <c r="E17" s="6" t="inlineStr">
        <is>
          <t>Done</t>
        </is>
      </c>
      <c r="F17" s="6" t="inlineStr">
        <is>
          <t>walkgrid-hills v1 (M1.4, D37): seeded, pinned; pictures docs/pictures/m1_4</t>
        </is>
      </c>
      <c r="G17" s="6" t="inlineStr">
        <is>
          <t>Outline 3</t>
        </is>
      </c>
      <c r="H17" s="6" t="inlineStr">
        <is>
          <t>Claude (proposed)</t>
        </is>
      </c>
    </row>
    <row r="18">
      <c r="A18" s="6" t="inlineStr">
        <is>
          <t>W017</t>
        </is>
      </c>
      <c r="B18" s="6" t="inlineStr">
        <is>
          <t>Looks</t>
        </is>
      </c>
      <c r="C18" s="6" t="inlineStr">
        <is>
          <t>Textures and lighting carried over (sun, shadows, sky, fog, AO, bloom, glow)</t>
        </is>
      </c>
      <c r="D18" s="6" t="inlineStr">
        <is>
          <t>Must</t>
        </is>
      </c>
      <c r="E18" s="6" t="inlineStr">
        <is>
          <t>Not started</t>
        </is>
      </c>
      <c r="F18" s="6" t="inlineStr">
        <is>
          <t>Checklist T4</t>
        </is>
      </c>
      <c r="G18" s="6" t="inlineStr">
        <is>
          <t>Outline D4</t>
        </is>
      </c>
      <c r="H18" s="6" t="inlineStr">
        <is>
          <t>Owner</t>
        </is>
      </c>
    </row>
    <row r="19">
      <c r="A19" s="6" t="inlineStr">
        <is>
          <t>W018</t>
        </is>
      </c>
      <c r="B19" s="6" t="inlineStr">
        <is>
          <t>Looks</t>
        </is>
      </c>
      <c r="C19" s="6" t="inlineStr">
        <is>
          <t>Smooth-filtered textures</t>
        </is>
      </c>
      <c r="D19" s="6" t="inlineStr">
        <is>
          <t>Must</t>
        </is>
      </c>
      <c r="E19" s="6" t="inlineStr">
        <is>
          <t>In progress</t>
        </is>
      </c>
      <c r="F19" s="6" t="inlineStr">
        <is>
          <t>M1.5: smooth (trilinear, 4x anisotropic) at every distance (D38); up close the 32 px art reads blurry: owner to judge</t>
        </is>
      </c>
      <c r="G19" s="6" t="inlineStr">
        <is>
          <t>Outline D8</t>
        </is>
      </c>
      <c r="H19" s="6" t="inlineStr">
        <is>
          <t>Owner</t>
        </is>
      </c>
    </row>
    <row r="20">
      <c r="A20" s="6" t="inlineStr">
        <is>
          <t>W019</t>
        </is>
      </c>
      <c r="B20" s="6" t="inlineStr">
        <is>
          <t>Looks</t>
        </is>
      </c>
      <c r="C20" s="6" t="inlineStr">
        <is>
          <t>Natural blending between materials (height-based)</t>
        </is>
      </c>
      <c r="D20" s="6" t="inlineStr">
        <is>
          <t>Must</t>
        </is>
      </c>
      <c r="E20" s="6" t="inlineStr">
        <is>
          <t>In progress</t>
        </is>
      </c>
      <c r="F20" s="6" t="inlineStr">
        <is>
          <t>Built in M1.6 (height layers, 3-material blend in the shader); owner to judge in game (T3)</t>
        </is>
      </c>
      <c r="G20" s="6" t="inlineStr">
        <is>
          <t>Outline 4</t>
        </is>
      </c>
      <c r="H20" s="6" t="inlineStr">
        <is>
          <t>Owner</t>
        </is>
      </c>
    </row>
    <row r="21">
      <c r="A21" s="6" t="inlineStr">
        <is>
          <t>W020</t>
        </is>
      </c>
      <c r="B21" s="6" t="inlineStr">
        <is>
          <t>Looks</t>
        </is>
      </c>
      <c r="C21" s="6" t="inlineStr">
        <is>
          <t>Sky light: pits, overhangs and hollows go dark</t>
        </is>
      </c>
      <c r="D21" s="6" t="inlineStr">
        <is>
          <t>Should</t>
        </is>
      </c>
      <c r="E21" s="6" t="inlineStr">
        <is>
          <t>In progress</t>
        </is>
      </c>
      <c r="F21" s="6" t="inlineStr">
        <is>
          <t>Built in M1.6 (column tops, horizon sky light per vertex); owner to judge (T5)</t>
        </is>
      </c>
      <c r="G21" s="6" t="inlineStr">
        <is>
          <t>Outline D4</t>
        </is>
      </c>
      <c r="H21" s="6" t="inlineStr">
        <is>
          <t>Claude (proposed)</t>
        </is>
      </c>
    </row>
    <row r="22">
      <c r="A22" s="6" t="inlineStr">
        <is>
          <t>W021</t>
        </is>
      </c>
      <c r="B22" s="6" t="inlineStr">
        <is>
          <t>Sound</t>
        </is>
      </c>
      <c r="C22" s="6" t="inlineStr">
        <is>
          <t>Day-cycle music as in Voxistics</t>
        </is>
      </c>
      <c r="D22" s="6" t="inlineStr">
        <is>
          <t>Must</t>
        </is>
      </c>
      <c r="E22" s="6" t="inlineStr">
        <is>
          <t>Not started</t>
        </is>
      </c>
      <c r="F22" s="6" t="inlineStr">
        <is>
          <t>Checklist T10</t>
        </is>
      </c>
      <c r="G22" s="6" t="inlineStr">
        <is>
          <t>Outline D2</t>
        </is>
      </c>
      <c r="H22" s="6" t="inlineStr">
        <is>
          <t>Owner</t>
        </is>
      </c>
    </row>
    <row r="23">
      <c r="A23" s="6" t="inlineStr">
        <is>
          <t>W022</t>
        </is>
      </c>
      <c r="B23" s="6" t="inlineStr">
        <is>
          <t>Sound</t>
        </is>
      </c>
      <c r="C23" s="6" t="inlineStr">
        <is>
          <t>Footsteps on the beat, by gait and ground material</t>
        </is>
      </c>
      <c r="D23" s="6" t="inlineStr">
        <is>
          <t>Must</t>
        </is>
      </c>
      <c r="E23" s="6" t="inlineStr">
        <is>
          <t>Not started</t>
        </is>
      </c>
      <c r="F23" s="6" t="inlineStr">
        <is>
          <t>Checklist T7. Louder and brighter (D29); still subtle, owner decides the ceiling in M1 step 1.12 (D31)</t>
        </is>
      </c>
      <c r="G23" s="6" t="inlineStr">
        <is>
          <t>Outline 5</t>
        </is>
      </c>
      <c r="H23" s="6" t="inlineStr">
        <is>
          <t>Owner</t>
        </is>
      </c>
    </row>
    <row r="24">
      <c r="A24" s="6" t="inlineStr">
        <is>
          <t>W023</t>
        </is>
      </c>
      <c r="B24" s="6" t="inlineStr">
        <is>
          <t>Sound</t>
        </is>
      </c>
      <c r="C24" s="6" t="inlineStr">
        <is>
          <t>Reactive sound effects that don't interfere with the music</t>
        </is>
      </c>
      <c r="D24" s="6" t="inlineStr">
        <is>
          <t>Must</t>
        </is>
      </c>
      <c r="E24" s="6" t="inlineStr">
        <is>
          <t>Not started</t>
        </is>
      </c>
      <c r="F24" s="6" t="inlineStr">
        <is>
          <t>Checklist T9</t>
        </is>
      </c>
      <c r="G24" s="6" t="inlineStr">
        <is>
          <t>Outline D3</t>
        </is>
      </c>
      <c r="H24" s="6" t="inlineStr">
        <is>
          <t>Owner</t>
        </is>
      </c>
    </row>
    <row r="25">
      <c r="A25" s="6" t="inlineStr">
        <is>
          <t>W024</t>
        </is>
      </c>
      <c r="B25" s="6" t="inlineStr">
        <is>
          <t>Sound</t>
        </is>
      </c>
      <c r="C25" s="6" t="inlineStr">
        <is>
          <t>Effects on their own thread, with a voice cap</t>
        </is>
      </c>
      <c r="D25" s="6" t="inlineStr">
        <is>
          <t>Should</t>
        </is>
      </c>
      <c r="E25" s="6" t="inlineStr">
        <is>
          <t>In progress</t>
        </is>
      </c>
      <c r="F25" s="6" t="inlineStr">
        <is>
          <t>Built in M1.1 (own thread, mailbox, 48-voice cap tested); awaiting the owner's Ctrl+F3 report</t>
        </is>
      </c>
      <c r="G25" s="6" t="inlineStr">
        <is>
          <t>Outline D3</t>
        </is>
      </c>
      <c r="H25" s="6" t="inlineStr">
        <is>
          <t>Claude (proposed)</t>
        </is>
      </c>
    </row>
    <row r="26">
      <c r="A26" s="6" t="inlineStr">
        <is>
          <t>W025</t>
        </is>
      </c>
      <c r="B26" s="6" t="inlineStr">
        <is>
          <t>Controls</t>
        </is>
      </c>
      <c r="C26" s="6" t="inlineStr">
        <is>
          <t>First person only</t>
        </is>
      </c>
      <c r="D26" s="6" t="inlineStr">
        <is>
          <t>Must</t>
        </is>
      </c>
      <c r="E26" s="6" t="inlineStr">
        <is>
          <t>Not started</t>
        </is>
      </c>
      <c r="F26" s="6" t="n"/>
      <c r="G26" s="6" t="inlineStr">
        <is>
          <t>Outline D9</t>
        </is>
      </c>
      <c r="H26" s="6" t="inlineStr">
        <is>
          <t>Owner</t>
        </is>
      </c>
    </row>
    <row r="27">
      <c r="A27" s="6" t="inlineStr">
        <is>
          <t>W026</t>
        </is>
      </c>
      <c r="B27" s="6" t="inlineStr">
        <is>
          <t>Controls</t>
        </is>
      </c>
      <c r="C27" s="6" t="inlineStr">
        <is>
          <t>Raw mouse input</t>
        </is>
      </c>
      <c r="D27" s="6" t="inlineStr">
        <is>
          <t>Should</t>
        </is>
      </c>
      <c r="E27" s="6" t="inlineStr">
        <is>
          <t>Done</t>
        </is>
      </c>
      <c r="F27" s="6" t="inlineStr">
        <is>
          <t>M0.14; awaiting the feel check (C5)</t>
        </is>
      </c>
      <c r="G27" s="6" t="inlineStr">
        <is>
          <t>Engine review 2.7</t>
        </is>
      </c>
      <c r="H27" s="6" t="inlineStr">
        <is>
          <t>Claude (proposed)</t>
        </is>
      </c>
    </row>
    <row r="28">
      <c r="A28" s="6" t="inlineStr">
        <is>
          <t>W027</t>
        </is>
      </c>
      <c r="B28" s="6" t="inlineStr">
        <is>
          <t>Controls</t>
        </is>
      </c>
      <c r="C28" s="6" t="inlineStr">
        <is>
          <t>Choose materials from the library menu; hotbar kept for now</t>
        </is>
      </c>
      <c r="D28" s="6" t="inlineStr">
        <is>
          <t>Should</t>
        </is>
      </c>
      <c r="E28" s="6" t="inlineStr">
        <is>
          <t>Not started</t>
        </is>
      </c>
      <c r="F28" s="6" t="inlineStr">
        <is>
          <t>Owner (D30): materials are chosen in the library. The hotbar stays as a placeholder, possibly for other GUI later</t>
        </is>
      </c>
      <c r="G28" s="6" t="inlineStr">
        <is>
          <t>Decisions D30</t>
        </is>
      </c>
      <c r="H28" s="6" t="inlineStr">
        <is>
          <t>Owner</t>
        </is>
      </c>
    </row>
    <row r="29">
      <c r="A29" s="6" t="inlineStr">
        <is>
          <t>W028</t>
        </is>
      </c>
      <c r="B29" s="6" t="inlineStr">
        <is>
          <t>Menus</t>
        </is>
      </c>
      <c r="C29" s="6" t="inlineStr">
        <is>
          <t>Title, slots, pause, options (look, graphics, display, audio, keys, accessibility), saves</t>
        </is>
      </c>
      <c r="D29" s="6" t="inlineStr">
        <is>
          <t>Should</t>
        </is>
      </c>
      <c r="E29" s="6" t="inlineStr">
        <is>
          <t>Not started</t>
        </is>
      </c>
      <c r="F29" s="6" t="inlineStr">
        <is>
          <t>Carried over; checklist T11</t>
        </is>
      </c>
      <c r="G29" s="6" t="inlineStr">
        <is>
          <t>Outline 7</t>
        </is>
      </c>
      <c r="H29" s="6" t="inlineStr">
        <is>
          <t>Claude (proposed)</t>
        </is>
      </c>
    </row>
    <row r="30">
      <c r="A30" s="6" t="inlineStr">
        <is>
          <t>W029</t>
        </is>
      </c>
      <c r="B30" s="6" t="inlineStr">
        <is>
          <t>Debug &amp; checks</t>
        </is>
      </c>
      <c r="C30" s="6" t="inlineStr">
        <is>
          <t>Screenshot key</t>
        </is>
      </c>
      <c r="D30" s="6" t="inlineStr">
        <is>
          <t>Should</t>
        </is>
      </c>
      <c r="E30" s="6" t="inlineStr">
        <is>
          <t>In progress</t>
        </is>
      </c>
      <c r="F30" s="6" t="inlineStr">
        <is>
          <t>F2; built, awaiting the owner's check on Windows</t>
        </is>
      </c>
      <c r="G30" s="6" t="inlineStr">
        <is>
          <t>Foundations 7</t>
        </is>
      </c>
      <c r="H30" s="6" t="inlineStr">
        <is>
          <t>Claude (proposed)</t>
        </is>
      </c>
    </row>
    <row r="31">
      <c r="A31" s="6" t="inlineStr">
        <is>
          <t>W030</t>
        </is>
      </c>
      <c r="B31" s="6" t="inlineStr">
        <is>
          <t>Debug &amp; checks</t>
        </is>
      </c>
      <c r="C31" s="6" t="inlineStr">
        <is>
          <t>MinGW cross-compile and shader check set up here</t>
        </is>
      </c>
      <c r="D31" s="6" t="inlineStr">
        <is>
          <t>Should</t>
        </is>
      </c>
      <c r="E31" s="6" t="inlineStr">
        <is>
          <t>Done</t>
        </is>
      </c>
      <c r="F31" s="6" t="inlineStr">
        <is>
          <t>tools/check_mingw.sh; shader check runs clean</t>
        </is>
      </c>
      <c r="G31" s="6" t="inlineStr">
        <is>
          <t>Foundations 7</t>
        </is>
      </c>
      <c r="H31" s="6" t="inlineStr">
        <is>
          <t>Claude (proposed)</t>
        </is>
      </c>
    </row>
    <row r="32">
      <c r="A32" s="6" t="inlineStr">
        <is>
          <t>W031</t>
        </is>
      </c>
      <c r="B32" s="6" t="inlineStr">
        <is>
          <t>Debug &amp; checks</t>
        </is>
      </c>
      <c r="C32" s="6" t="inlineStr">
        <is>
          <t>CPU still-image preview of faceted ground (with triangle counts)</t>
        </is>
      </c>
      <c r="D32" s="6" t="inlineStr">
        <is>
          <t>Should</t>
        </is>
      </c>
      <c r="E32" s="6" t="inlineStr">
        <is>
          <t>Done</t>
        </is>
      </c>
      <c r="F32" s="6" t="inlineStr">
        <is>
          <t>M1.2: tools/facet_preview.sh; pictures in docs/pictures/m1_2</t>
        </is>
      </c>
      <c r="G32" s="6" t="inlineStr">
        <is>
          <t>Foundations 4.1</t>
        </is>
      </c>
      <c r="H32" s="6" t="inlineStr">
        <is>
          <t>Claude (proposed)</t>
        </is>
      </c>
    </row>
    <row r="33">
      <c r="A33" s="6" t="inlineStr">
        <is>
          <t>W032</t>
        </is>
      </c>
      <c r="B33" s="6" t="inlineStr">
        <is>
          <t>Debug &amp; checks</t>
        </is>
      </c>
      <c r="C33" s="6" t="inlineStr">
        <is>
          <t>Release performance check on the owner's PC (Ctrl+F3 report)</t>
        </is>
      </c>
      <c r="D33" s="6" t="inlineStr">
        <is>
          <t>Should</t>
        </is>
      </c>
      <c r="E33" s="6" t="inlineStr">
        <is>
          <t>Not started</t>
        </is>
      </c>
      <c r="F33" s="6" t="inlineStr">
        <is>
          <t>Awaits the owner at each milestone</t>
        </is>
      </c>
      <c r="G33" s="6" t="inlineStr">
        <is>
          <t>Foundations 7</t>
        </is>
      </c>
      <c r="H33" s="6" t="inlineStr">
        <is>
          <t>Claude (proposed)</t>
        </is>
      </c>
    </row>
    <row r="34">
      <c r="A34" s="6" t="inlineStr">
        <is>
          <t>W033</t>
        </is>
      </c>
      <c r="B34" s="6" t="inlineStr">
        <is>
          <t>Docs</t>
        </is>
      </c>
      <c r="C34" s="6" t="inlineStr">
        <is>
          <t>New CLAUDE.md, DESIGN.md and DECISIONS.md; Voxistics docs archived</t>
        </is>
      </c>
      <c r="D34" s="6" t="inlineStr">
        <is>
          <t>Should</t>
        </is>
      </c>
      <c r="E34" s="6" t="inlineStr">
        <is>
          <t>Done</t>
        </is>
      </c>
      <c r="F34" s="6" t="inlineStr">
        <is>
          <t>CLAUDE.md and DESIGN.md done; DECISIONS.md done</t>
        </is>
      </c>
      <c r="G34" s="6" t="inlineStr">
        <is>
          <t>Foundations 6</t>
        </is>
      </c>
      <c r="H34" s="6" t="inlineStr">
        <is>
          <t>Claude (proposed)</t>
        </is>
      </c>
    </row>
    <row r="35">
      <c r="A35" s="6" t="inlineStr">
        <is>
          <t>W034</t>
        </is>
      </c>
      <c r="B35" s="6" t="inlineStr">
        <is>
          <t>Docs</t>
        </is>
      </c>
      <c r="C35" s="6" t="inlineStr">
        <is>
          <t>Split game.cpp into input, menus, hud</t>
        </is>
      </c>
      <c r="D35" s="6" t="inlineStr">
        <is>
          <t>Should</t>
        </is>
      </c>
      <c r="E35" s="6" t="inlineStr">
        <is>
          <t>Done</t>
        </is>
      </c>
      <c r="F35" s="6" t="inlineStr">
        <is>
          <t>M0.11</t>
        </is>
      </c>
      <c r="G35" s="6" t="inlineStr">
        <is>
          <t>Engine review 2.7</t>
        </is>
      </c>
      <c r="H35" s="6" t="inlineStr">
        <is>
          <t>Claude (proposed)</t>
        </is>
      </c>
    </row>
    <row r="36">
      <c r="A36" s="6" t="inlineStr">
        <is>
          <t>W035</t>
        </is>
      </c>
      <c r="B36" s="6" t="inlineStr">
        <is>
          <t>Later</t>
        </is>
      </c>
      <c r="C36" s="6" t="inlineStr">
        <is>
          <t>Third person and an animated player model</t>
        </is>
      </c>
      <c r="D36" s="6" t="inlineStr">
        <is>
          <t>Won't</t>
        </is>
      </c>
      <c r="E36" s="6" t="inlineStr">
        <is>
          <t>Parked</t>
        </is>
      </c>
      <c r="F36" s="6" t="inlineStr">
        <is>
          <t>If wanted</t>
        </is>
      </c>
      <c r="G36" s="6" t="inlineStr">
        <is>
          <t>Outline D9</t>
        </is>
      </c>
      <c r="H36" s="6" t="inlineStr">
        <is>
          <t>Owner</t>
        </is>
      </c>
    </row>
    <row r="37">
      <c r="A37" s="6" t="inlineStr">
        <is>
          <t>W036</t>
        </is>
      </c>
      <c r="B37" s="6" t="inlineStr">
        <is>
          <t>Later</t>
        </is>
      </c>
      <c r="C37" s="6" t="inlineStr">
        <is>
          <t>Death metal music</t>
        </is>
      </c>
      <c r="D37" s="6" t="inlineStr">
        <is>
          <t>Won't</t>
        </is>
      </c>
      <c r="E37" s="6" t="inlineStr">
        <is>
          <t>Parked</t>
        </is>
      </c>
      <c r="F37" s="6" t="inlineStr">
        <is>
          <t>Real instruments are hard to emulate</t>
        </is>
      </c>
      <c r="G37" s="6" t="inlineStr">
        <is>
          <t>Outline D2</t>
        </is>
      </c>
      <c r="H37" s="6" t="inlineStr">
        <is>
          <t>Owner</t>
        </is>
      </c>
    </row>
    <row r="38">
      <c r="A38" s="6" t="inlineStr">
        <is>
          <t>W037</t>
        </is>
      </c>
      <c r="B38" s="6" t="inlineStr">
        <is>
          <t>Later</t>
        </is>
      </c>
      <c r="C38" s="6" t="inlineStr">
        <is>
          <t>Action systems: enemies, projectiles, particles, with budgets</t>
        </is>
      </c>
      <c r="D38" s="6" t="inlineStr">
        <is>
          <t>Won't</t>
        </is>
      </c>
      <c r="E38" s="6" t="inlineStr">
        <is>
          <t>Parked</t>
        </is>
      </c>
      <c r="F38" s="6" t="n"/>
      <c r="G38" s="6" t="inlineStr">
        <is>
          <t>Outline 2</t>
        </is>
      </c>
      <c r="H38" s="6" t="inlineStr">
        <is>
          <t>Owner</t>
        </is>
      </c>
    </row>
    <row r="39">
      <c r="A39" s="6" t="inlineStr">
        <is>
          <t>W038</t>
        </is>
      </c>
      <c r="B39" s="6" t="inlineStr">
        <is>
          <t>Later</t>
        </is>
      </c>
      <c r="C39" s="6" t="inlineStr">
        <is>
          <t>Real terrain generator with caves</t>
        </is>
      </c>
      <c r="D39" s="6" t="inlineStr">
        <is>
          <t>Won't</t>
        </is>
      </c>
      <c r="E39" s="6" t="inlineStr">
        <is>
          <t>Parked</t>
        </is>
      </c>
      <c r="F39" s="6" t="n"/>
      <c r="G39" s="6" t="inlineStr">
        <is>
          <t>Outline 2</t>
        </is>
      </c>
      <c r="H39" s="6" t="inlineStr">
        <is>
          <t>Owner</t>
        </is>
      </c>
    </row>
    <row r="40">
      <c r="A40" s="6" t="inlineStr">
        <is>
          <t>W039</t>
        </is>
      </c>
      <c r="B40" s="6" t="inlineStr">
        <is>
          <t>Later</t>
        </is>
      </c>
      <c r="C40" s="6" t="inlineStr">
        <is>
          <t>Unsupported ground falls (Voxistics gravity)</t>
        </is>
      </c>
      <c r="D40" s="6" t="inlineStr">
        <is>
          <t>Won't</t>
        </is>
      </c>
      <c r="E40" s="6" t="inlineStr">
        <is>
          <t>Parked</t>
        </is>
      </c>
      <c r="F40" s="6" t="inlineStr">
        <is>
          <t>Revisit after the first test</t>
        </is>
      </c>
      <c r="G40" s="6" t="inlineStr">
        <is>
          <t>Outline 7</t>
        </is>
      </c>
      <c r="H40" s="6" t="inlineStr">
        <is>
          <t>Owner</t>
        </is>
      </c>
    </row>
    <row r="41">
      <c r="A41" s="6" t="inlineStr">
        <is>
          <t>W040</t>
        </is>
      </c>
      <c r="B41" s="6" t="inlineStr">
        <is>
          <t>Later</t>
        </is>
      </c>
      <c r="C41" s="6" t="inlineStr">
        <is>
          <t>Covered grass dies back to dirt</t>
        </is>
      </c>
      <c r="D41" s="6" t="inlineStr">
        <is>
          <t>Won't</t>
        </is>
      </c>
      <c r="E41" s="6" t="inlineStr">
        <is>
          <t>Parked</t>
        </is>
      </c>
      <c r="F41" s="6" t="inlineStr">
        <is>
          <t>Revisit after the first test</t>
        </is>
      </c>
      <c r="G41" s="6" t="inlineStr">
        <is>
          <t>Outline 7</t>
        </is>
      </c>
      <c r="H41" s="6" t="inlineStr">
        <is>
          <t>Owner</t>
        </is>
      </c>
    </row>
    <row r="42">
      <c r="A42" s="6" t="inlineStr">
        <is>
          <t>W041</t>
        </is>
      </c>
      <c r="B42" s="6" t="inlineStr">
        <is>
          <t>Later</t>
        </is>
      </c>
      <c r="C42" s="6" t="inlineStr">
        <is>
          <t>Plants that turn to face you</t>
        </is>
      </c>
      <c r="D42" s="6" t="inlineStr">
        <is>
          <t>Won't</t>
        </is>
      </c>
      <c r="E42" s="6" t="inlineStr">
        <is>
          <t>Parked</t>
        </is>
      </c>
      <c r="F42" s="6" t="inlineStr">
        <is>
          <t>Revisit after the first test</t>
        </is>
      </c>
      <c r="G42" s="6" t="inlineStr">
        <is>
          <t>Outline 7</t>
        </is>
      </c>
      <c r="H42" s="6" t="inlineStr">
        <is>
          <t>Owner</t>
        </is>
      </c>
    </row>
    <row r="43">
      <c r="A43" s="6" t="inlineStr">
        <is>
          <t>W042</t>
        </is>
      </c>
      <c r="B43" s="6" t="inlineStr">
        <is>
          <t>Later</t>
        </is>
      </c>
      <c r="C43" s="6" t="inlineStr">
        <is>
          <t>See-through materials (glass, ice, water)</t>
        </is>
      </c>
      <c r="D43" s="6" t="inlineStr">
        <is>
          <t>Won't</t>
        </is>
      </c>
      <c r="E43" s="6" t="inlineStr">
        <is>
          <t>Parked</t>
        </is>
      </c>
      <c r="F43" s="6" t="n"/>
      <c r="G43" s="6" t="inlineStr">
        <is>
          <t>Outline 7</t>
        </is>
      </c>
      <c r="H43" s="6" t="inlineStr">
        <is>
          <t>Claude (proposed)</t>
        </is>
      </c>
    </row>
    <row r="44">
      <c r="A44" s="6" t="inlineStr">
        <is>
          <t>W043</t>
        </is>
      </c>
      <c r="B44" s="6" t="inlineStr">
        <is>
          <t>Later</t>
        </is>
      </c>
      <c r="C44" s="6" t="inlineStr">
        <is>
          <t>Colour-vision modes; first-steps tutorial</t>
        </is>
      </c>
      <c r="D44" s="6" t="inlineStr">
        <is>
          <t>Won't</t>
        </is>
      </c>
      <c r="E44" s="6" t="inlineStr">
        <is>
          <t>Parked</t>
        </is>
      </c>
      <c r="F44" s="6" t="inlineStr">
        <is>
          <t>Served Voxistics features; accessibility no longer a standing rule (D24)</t>
        </is>
      </c>
      <c r="G44" s="6" t="inlineStr">
        <is>
          <t>Outline 7</t>
        </is>
      </c>
      <c r="H44" s="6" t="inlineStr">
        <is>
          <t>Claude (proposed)</t>
        </is>
      </c>
    </row>
    <row r="45">
      <c r="A45" s="6" t="inlineStr">
        <is>
          <t>W044</t>
        </is>
      </c>
      <c r="B45" s="6" t="inlineStr">
        <is>
          <t>Later</t>
        </is>
      </c>
      <c r="C45" s="6" t="inlineStr">
        <is>
          <t>Gamepad support</t>
        </is>
      </c>
      <c r="D45" s="6" t="inlineStr">
        <is>
          <t>Won't</t>
        </is>
      </c>
      <c r="E45" s="6" t="inlineStr">
        <is>
          <t>Parked</t>
        </is>
      </c>
      <c r="F45" s="6" t="n"/>
      <c r="G45" s="6" t="inlineStr">
        <is>
          <t>Engine review 2.7</t>
        </is>
      </c>
      <c r="H45" s="6" t="inlineStr">
        <is>
          <t>Claude (proposed)</t>
        </is>
      </c>
    </row>
    <row r="46">
      <c r="A46" s="6" t="inlineStr">
        <is>
          <t>W045</t>
        </is>
      </c>
      <c r="B46" s="6" t="inlineStr">
        <is>
          <t>Engine</t>
        </is>
      </c>
      <c r="C46" s="6" t="inlineStr">
        <is>
          <t>Render only what can be seen; preload what may be seen soon</t>
        </is>
      </c>
      <c r="D46" s="6" t="inlineStr">
        <is>
          <t>Must</t>
        </is>
      </c>
      <c r="E46" s="6" t="inlineStr">
        <is>
          <t>In progress</t>
        </is>
      </c>
      <c r="F46" s="6" t="inlineStr">
        <is>
          <t>Frustum culling exists; hidden-chunk skipping and heading-aware loading in M1</t>
        </is>
      </c>
      <c r="G46" s="6" t="inlineStr">
        <is>
          <t>Foundations 4.3</t>
        </is>
      </c>
      <c r="H46" s="6" t="inlineStr">
        <is>
          <t>Owner</t>
        </is>
      </c>
    </row>
    <row r="47">
      <c r="A47" s="6" t="inlineStr">
        <is>
          <t>W046</t>
        </is>
      </c>
      <c r="B47" s="6" t="inlineStr">
        <is>
          <t>Engine</t>
        </is>
      </c>
      <c r="C47" s="6" t="inlineStr">
        <is>
          <t>Graphics minimum: Direct3D feature level 11.0, shader model 5.0</t>
        </is>
      </c>
      <c r="D47" s="6" t="inlineStr">
        <is>
          <t>Must</t>
        </is>
      </c>
      <c r="E47" s="6" t="inlineStr">
        <is>
          <t>Done</t>
        </is>
      </c>
      <c r="F47" s="6" t="inlineStr">
        <is>
          <t>M0.16; awaiting the Windows build to confirm D3DCompile accepts SM5</t>
        </is>
      </c>
      <c r="G47" s="6" t="inlineStr">
        <is>
          <t>Decisions D20</t>
        </is>
      </c>
      <c r="H47" s="6" t="inlineStr">
        <is>
          <t>Owner</t>
        </is>
      </c>
    </row>
    <row r="48">
      <c r="A48" s="6" t="inlineStr">
        <is>
          <t>W047</t>
        </is>
      </c>
      <c r="B48" s="6" t="inlineStr">
        <is>
          <t>Engine</t>
        </is>
      </c>
      <c r="C48" s="6" t="inlineStr">
        <is>
          <t>Harmless reads of OS limits only (thread count, video-memory budget); never kept or shown</t>
        </is>
      </c>
      <c r="D48" s="6" t="inlineStr">
        <is>
          <t>Must</t>
        </is>
      </c>
      <c r="E48" s="6" t="inlineStr">
        <is>
          <t>In progress</t>
        </is>
      </c>
      <c r="F48" s="6" t="inlineStr">
        <is>
          <t>Standing rule (D21)</t>
        </is>
      </c>
      <c r="G48" s="6" t="inlineStr">
        <is>
          <t>Decisions D21</t>
        </is>
      </c>
      <c r="H48" s="6" t="inlineStr">
        <is>
          <t>Owner</t>
        </is>
      </c>
    </row>
    <row r="49">
      <c r="A49" s="6" t="inlineStr">
        <is>
          <t>W048</t>
        </is>
      </c>
      <c r="B49" s="6" t="inlineStr">
        <is>
          <t>Engine</t>
        </is>
      </c>
      <c r="C49" s="6" t="inlineStr">
        <is>
          <t>No online play, no network code</t>
        </is>
      </c>
      <c r="D49" s="6" t="inlineStr">
        <is>
          <t>Must</t>
        </is>
      </c>
      <c r="E49" s="6" t="inlineStr">
        <is>
          <t>In progress</t>
        </is>
      </c>
      <c r="F49" s="6" t="inlineStr">
        <is>
          <t>Standing rule, never 'done' (D23)</t>
        </is>
      </c>
      <c r="G49" s="6" t="inlineStr">
        <is>
          <t>Decisions D23</t>
        </is>
      </c>
      <c r="H49" s="6" t="inlineStr">
        <is>
          <t>Owner</t>
        </is>
      </c>
    </row>
    <row r="50">
      <c r="A50" s="6" t="inlineStr">
        <is>
          <t>W049</t>
        </is>
      </c>
      <c r="B50" s="6" t="inlineStr">
        <is>
          <t>Sound</t>
        </is>
      </c>
      <c r="C50" s="6" t="inlineStr">
        <is>
          <t>Synthesized sound only: no recorded or sampled audio</t>
        </is>
      </c>
      <c r="D50" s="6" t="inlineStr">
        <is>
          <t>Must</t>
        </is>
      </c>
      <c r="E50" s="6" t="inlineStr">
        <is>
          <t>In progress</t>
        </is>
      </c>
      <c r="F50" s="6" t="inlineStr">
        <is>
          <t>Standing rule, never 'done' (D25)</t>
        </is>
      </c>
      <c r="G50" s="6" t="inlineStr">
        <is>
          <t>Decisions D25</t>
        </is>
      </c>
      <c r="H50" s="6" t="inlineStr">
        <is>
          <t>Owner</t>
        </is>
      </c>
    </row>
    <row r="51">
      <c r="A51" s="6" t="inlineStr">
        <is>
          <t>W050</t>
        </is>
      </c>
      <c r="B51" s="6" t="inlineStr">
        <is>
          <t>Menus</t>
        </is>
      </c>
      <c r="C51" s="6" t="inlineStr">
        <is>
          <t>Text ready for any language: string table, wider font atlas</t>
        </is>
      </c>
      <c r="D51" s="6" t="inlineStr">
        <is>
          <t>Must</t>
        </is>
      </c>
      <c r="E51" s="6" t="inlineStr">
        <is>
          <t>Not started</t>
        </is>
      </c>
      <c r="F51" s="6" t="inlineStr">
        <is>
          <t>M1 step 0 (D26)</t>
        </is>
      </c>
      <c r="G51" s="6" t="inlineStr">
        <is>
          <t>Decisions D26</t>
        </is>
      </c>
      <c r="H51" s="6" t="inlineStr">
        <is>
          <t>Owner</t>
        </is>
      </c>
    </row>
    <row r="52">
      <c r="A52" s="6" t="inlineStr">
        <is>
          <t>W051</t>
        </is>
      </c>
      <c r="B52" s="6" t="inlineStr">
        <is>
          <t>Process</t>
        </is>
      </c>
      <c r="C52" s="6" t="inlineStr">
        <is>
          <t>SOP binding, two tiers; hooks capped and listed</t>
        </is>
      </c>
      <c r="D52" s="6" t="inlineStr">
        <is>
          <t>Must</t>
        </is>
      </c>
      <c r="E52" s="6" t="inlineStr">
        <is>
          <t>Done</t>
        </is>
      </c>
      <c r="F52" s="6" t="inlineStr">
        <is>
          <t>docs/SOP.md; FOUNDATIONS.md 2.1 (D27)</t>
        </is>
      </c>
      <c r="G52" s="6" t="inlineStr">
        <is>
          <t>Decisions D27</t>
        </is>
      </c>
      <c r="H52" s="6" t="inlineStr">
        <is>
          <t>Owner</t>
        </is>
      </c>
    </row>
    <row r="53">
      <c r="A53" s="6" t="inlineStr">
        <is>
          <t>W052</t>
        </is>
      </c>
      <c r="B53" s="6" t="inlineStr">
        <is>
          <t>Looks</t>
        </is>
      </c>
      <c r="C53" s="6" t="inlineStr">
        <is>
          <t>Twelve starting materials, chosen on contact sheets</t>
        </is>
      </c>
      <c r="D53" s="6" t="inlineStr">
        <is>
          <t>Should</t>
        </is>
      </c>
      <c r="E53" s="6" t="inlineStr">
        <is>
          <t>Done</t>
        </is>
      </c>
      <c r="F53" s="6" t="inlineStr">
        <is>
          <t>D36, provisional until the owner confirms; docs/pictures/m1_3</t>
        </is>
      </c>
      <c r="G53" s="6" t="inlineStr">
        <is>
          <t>Decisions D36</t>
        </is>
      </c>
      <c r="H53" s="6" t="inlineStr">
        <is>
          <t>Claude (proposed)</t>
        </is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</row>
  </sheetData>
  <autoFilter ref="A1:H300"/>
  <conditionalFormatting sqref="D2:D30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  <cfRule type="cellIs" priority="4" operator="equal" dxfId="3">
      <formula>"Won't"</formula>
    </cfRule>
  </conditionalFormatting>
  <conditionalFormatting sqref="A2:H300">
    <cfRule type="expression" priority="5" dxfId="4">
      <formula>$E2="Done"</formula>
    </cfRule>
  </conditionalFormatting>
  <dataValidations count="3">
    <dataValidation sqref="D2:D300" showDropDown="0" showInputMessage="0" showErrorMessage="0" allowBlank="1" type="list">
      <formula1>"Must,Should,Could,Won't"</formula1>
    </dataValidation>
    <dataValidation sqref="E2:E300" showDropDown="0" showInputMessage="0" showErrorMessage="0" allowBlank="1" type="list">
      <formula1>"Done,In progress,Not started,Parked"</formula1>
    </dataValidation>
    <dataValidation sqref="H2:H300" showDropDown="0" showInputMessage="0" showErrorMessage="0" allowBlank="1" type="list">
      <formula1>"Owner,Claude (proposed)"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Scope at a glance</t>
        </is>
      </c>
    </row>
    <row r="2">
      <c r="A2" s="8" t="inlineStr">
        <is>
          <t>Counts update from the Scope sheet.</t>
        </is>
      </c>
    </row>
    <row r="4">
      <c r="A4" s="9" t="inlineStr">
        <is>
          <t>Priority</t>
        </is>
      </c>
      <c r="B4" s="9" t="inlineStr">
        <is>
          <t>Done</t>
        </is>
      </c>
      <c r="C4" s="9" t="inlineStr">
        <is>
          <t>In progress</t>
        </is>
      </c>
      <c r="D4" s="9" t="inlineStr">
        <is>
          <t>Not started</t>
        </is>
      </c>
      <c r="E4" s="9" t="inlineStr">
        <is>
          <t>Parked</t>
        </is>
      </c>
      <c r="F4" s="9" t="inlineStr">
        <is>
          <t>Total</t>
        </is>
      </c>
      <c r="G4" s="9" t="inlineStr">
        <is>
          <t>Done %</t>
        </is>
      </c>
    </row>
    <row r="5">
      <c r="A5" s="10" t="inlineStr">
        <is>
          <t>Must</t>
        </is>
      </c>
      <c r="B5" s="10">
        <f>COUNTIFS(Scope!$D$2:$D$300,$A5,Scope!$E$2:$E$300,B$4)</f>
        <v/>
      </c>
      <c r="C5" s="10">
        <f>COUNTIFS(Scope!$D$2:$D$300,$A5,Scope!$E$2:$E$300,C$4)</f>
        <v/>
      </c>
      <c r="D5" s="10">
        <f>COUNTIFS(Scope!$D$2:$D$300,$A5,Scope!$E$2:$E$300,D$4)</f>
        <v/>
      </c>
      <c r="E5" s="10">
        <f>COUNTIFS(Scope!$D$2:$D$300,$A5,Scope!$E$2:$E$300,E$4)</f>
        <v/>
      </c>
      <c r="F5" s="10">
        <f>SUM(B5:E5)</f>
        <v/>
      </c>
      <c r="G5" s="11">
        <f>IF(F5=0,0,B5/F5)</f>
        <v/>
      </c>
    </row>
    <row r="6">
      <c r="A6" s="10" t="inlineStr">
        <is>
          <t>Should</t>
        </is>
      </c>
      <c r="B6" s="10">
        <f>COUNTIFS(Scope!$D$2:$D$300,$A6,Scope!$E$2:$E$300,B$4)</f>
        <v/>
      </c>
      <c r="C6" s="10">
        <f>COUNTIFS(Scope!$D$2:$D$300,$A6,Scope!$E$2:$E$300,C$4)</f>
        <v/>
      </c>
      <c r="D6" s="10">
        <f>COUNTIFS(Scope!$D$2:$D$300,$A6,Scope!$E$2:$E$300,D$4)</f>
        <v/>
      </c>
      <c r="E6" s="10">
        <f>COUNTIFS(Scope!$D$2:$D$300,$A6,Scope!$E$2:$E$300,E$4)</f>
        <v/>
      </c>
      <c r="F6" s="10">
        <f>SUM(B6:E6)</f>
        <v/>
      </c>
      <c r="G6" s="11">
        <f>IF(F6=0,0,B6/F6)</f>
        <v/>
      </c>
    </row>
    <row r="7">
      <c r="A7" s="10" t="inlineStr">
        <is>
          <t>Could</t>
        </is>
      </c>
      <c r="B7" s="10">
        <f>COUNTIFS(Scope!$D$2:$D$300,$A7,Scope!$E$2:$E$300,B$4)</f>
        <v/>
      </c>
      <c r="C7" s="10">
        <f>COUNTIFS(Scope!$D$2:$D$300,$A7,Scope!$E$2:$E$300,C$4)</f>
        <v/>
      </c>
      <c r="D7" s="10">
        <f>COUNTIFS(Scope!$D$2:$D$300,$A7,Scope!$E$2:$E$300,D$4)</f>
        <v/>
      </c>
      <c r="E7" s="10">
        <f>COUNTIFS(Scope!$D$2:$D$300,$A7,Scope!$E$2:$E$300,E$4)</f>
        <v/>
      </c>
      <c r="F7" s="10">
        <f>SUM(B7:E7)</f>
        <v/>
      </c>
      <c r="G7" s="11">
        <f>IF(F7=0,0,B7/F7)</f>
        <v/>
      </c>
    </row>
    <row r="8">
      <c r="A8" s="10" t="inlineStr">
        <is>
          <t>Won't</t>
        </is>
      </c>
      <c r="B8" s="10">
        <f>COUNTIFS(Scope!$D$2:$D$300,$A8,Scope!$E$2:$E$300,B$4)</f>
        <v/>
      </c>
      <c r="C8" s="10">
        <f>COUNTIFS(Scope!$D$2:$D$300,$A8,Scope!$E$2:$E$300,C$4)</f>
        <v/>
      </c>
      <c r="D8" s="10">
        <f>COUNTIFS(Scope!$D$2:$D$300,$A8,Scope!$E$2:$E$300,D$4)</f>
        <v/>
      </c>
      <c r="E8" s="10">
        <f>COUNTIFS(Scope!$D$2:$D$300,$A8,Scope!$E$2:$E$300,E$4)</f>
        <v/>
      </c>
      <c r="F8" s="10">
        <f>SUM(B8:E8)</f>
        <v/>
      </c>
      <c r="G8" s="11">
        <f>IF(F8=0,0,B8/F8)</f>
        <v/>
      </c>
    </row>
    <row r="9">
      <c r="A9" s="12" t="inlineStr">
        <is>
          <t>Total</t>
        </is>
      </c>
      <c r="B9" s="12">
        <f>SUM(B5:B8)</f>
        <v/>
      </c>
      <c r="C9" s="12">
        <f>SUM(C5:C8)</f>
        <v/>
      </c>
      <c r="D9" s="12">
        <f>SUM(D5:D8)</f>
        <v/>
      </c>
      <c r="E9" s="12">
        <f>SUM(E5:E8)</f>
        <v/>
      </c>
      <c r="F9" s="12">
        <f>SUM(F5:F8)</f>
        <v/>
      </c>
      <c r="G9" s="13">
        <f>IF(F9=0,0,B9/F9)</f>
        <v/>
      </c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inlineStr">
        <is>
          <t>Open Musts (not done)</t>
        </is>
      </c>
      <c r="B11" s="10">
        <f>COUNTIFS(Scope!$D$2:$D$300,"Must",Scope!$E$2:$E$300,"&lt;&gt;Done")</f>
        <v/>
      </c>
      <c r="C11" s="10" t="n"/>
      <c r="D11" s="10" t="n"/>
      <c r="E11" s="10" t="n"/>
      <c r="F11" s="10" t="n"/>
      <c r="G11" s="10" t="n"/>
    </row>
    <row r="12">
      <c r="A12" s="10" t="inlineStr">
        <is>
          <t>Proposals awaiting the owner</t>
        </is>
      </c>
      <c r="B12" s="10">
        <f>COUNTIF(Scope!$H$2:$H$300,"Claude (proposed)")</f>
        <v/>
      </c>
      <c r="C12" s="10" t="n"/>
      <c r="D12" s="10" t="n"/>
      <c r="E12" s="10" t="n"/>
      <c r="F12" s="10" t="n"/>
      <c r="G1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2026-09-24T19:48:14Z</dcterms:created>
  <dcterms:modified xsi:type="dcterms:W3CDTF">2026-09-25T19:22:20Z</dcterms:modified>
</cp:coreProperties>
</file>