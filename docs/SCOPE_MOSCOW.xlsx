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How to use" sheetId="1" state="visible" r:id="rId1"/>
    <sheet name="Scope" sheetId="2" state="visible" r:id="rId2"/>
    <sheet name="Summary" sheetId="3" state="visible" r:id="rId3"/>
  </sheets>
  <definedNames>
    <definedName name="_xlnm._FilterDatabase" localSheetId="1" hidden="1">'Scope'!$A$1:$H$300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A4A5C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5" fillId="0" borderId="0" pivotButton="0" quotePrefix="0" xfId="0"/>
    <xf numFmtId="9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4CCCC"/>
          <bgColor rgb="00F4CCCC"/>
        </patternFill>
      </fill>
    </dxf>
    <dxf>
      <fill>
        <patternFill patternType="solid">
          <fgColor rgb="00FCE5CD"/>
          <bgColor rgb="00FCE5CD"/>
        </patternFill>
      </fill>
    </dxf>
    <dxf>
      <fill>
        <patternFill patternType="solid">
          <fgColor rgb="00D9EAD3"/>
          <bgColor rgb="00D9EAD3"/>
        </patternFill>
      </fill>
    </dxf>
    <dxf>
      <fill>
        <patternFill patternType="solid">
          <fgColor rgb="00E0E0E0"/>
          <bgColor rgb="00E0E0E0"/>
        </patternFill>
      </fill>
    </dxf>
    <dxf>
      <font>
        <name val="Arial"/>
        <color rgb="00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Claude</author>
  </authors>
  <commentList>
    <comment ref="H1" authorId="0" shapeId="0">
      <text>
        <t>Owner = decided by the owner. Claude (proposed) = a suggestion awaiting the owner's call: promote, demote or delete it.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walkgrid scope (MoSCoW)</t>
        </is>
      </c>
    </row>
    <row r="2">
      <c r="A2" s="2" t="inlineStr"/>
    </row>
    <row r="3">
      <c r="A3" s="3" t="inlineStr">
        <is>
          <t>Horizon (edit this): the first functional test -- walk a faceted, textured, lit world, hear footsteps with the music, place and remove ground, at 60 fps or better on the owner's PC.</t>
        </is>
      </c>
    </row>
    <row r="4">
      <c r="A4" s="2" t="inlineStr"/>
    </row>
    <row r="5">
      <c r="A5" s="2" t="inlineStr">
        <is>
          <t>Must -- the horizon fails without it.</t>
        </is>
      </c>
    </row>
    <row r="6">
      <c r="A6" s="2" t="inlineStr">
        <is>
          <t>Should -- important, but the horizon still works without it.</t>
        </is>
      </c>
    </row>
    <row r="7">
      <c r="A7" s="2" t="inlineStr">
        <is>
          <t>Could -- nice to have if it's cheap; first to drop.</t>
        </is>
      </c>
    </row>
    <row r="8">
      <c r="A8" s="2" t="inlineStr">
        <is>
          <t>Won't -- not this horizon (parked, not rejected). The dev pile lives here.</t>
        </is>
      </c>
    </row>
    <row r="9">
      <c r="A9" s="2" t="inlineStr"/>
    </row>
    <row r="10">
      <c r="A10" s="4" t="inlineStr">
        <is>
          <t>How we use it</t>
        </is>
      </c>
    </row>
    <row r="11">
      <c r="A11" s="2" t="inlineStr">
        <is>
          <t>1. Before new work starts, it needs a row here. New ideas enter as Could or Won't unless the owner says otherwise.</t>
        </is>
      </c>
    </row>
    <row r="12">
      <c r="A12" s="2" t="inlineStr">
        <is>
          <t>2. Only the owner sets Must. Claude's suggestions say 'Claude (proposed)' in Decided by until the owner decides.</t>
        </is>
      </c>
    </row>
    <row r="13">
      <c r="A13" s="2" t="inlineStr">
        <is>
          <t>3. Priority and Status are drop-downs; Summary counts update by themselves.</t>
        </is>
      </c>
    </row>
    <row r="14">
      <c r="A14" s="2" t="inlineStr">
        <is>
          <t>4. Add a row at the bottom of Scope with the next ID (S040, S041, ...). Example: S040 | Audio | Footstep volume option | Could | Not started | Only if footfalls stay | 10.4 | Owner</t>
        </is>
      </c>
    </row>
    <row r="15">
      <c r="A15" s="2" t="inlineStr">
        <is>
          <t>5. When a horizon ships, move its Won'ts up for review and set a new horizon above.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58" customWidth="1" min="3" max="3"/>
    <col width="11" customWidth="1" min="4" max="4"/>
    <col width="13" customWidth="1" min="5" max="5"/>
    <col width="52" customWidth="1" min="6" max="6"/>
    <col width="13" customWidth="1" min="7" max="7"/>
    <col width="17" customWidth="1" min="8" max="8"/>
  </cols>
  <sheetData>
    <row r="1">
      <c r="A1" s="5" t="inlineStr">
        <is>
          <t>ID</t>
        </is>
      </c>
      <c r="B1" s="5" t="inlineStr">
        <is>
          <t>Area</t>
        </is>
      </c>
      <c r="C1" s="5" t="inlineStr">
        <is>
          <t>Item</t>
        </is>
      </c>
      <c r="D1" s="5" t="inlineStr">
        <is>
          <t>Priority</t>
        </is>
      </c>
      <c r="E1" s="5" t="inlineStr">
        <is>
          <t>Status</t>
        </is>
      </c>
      <c r="F1" s="5" t="inlineStr">
        <is>
          <t>Notes / boundary</t>
        </is>
      </c>
      <c r="G1" s="5" t="inlineStr">
        <is>
          <t>Design ref</t>
        </is>
      </c>
      <c r="H1" s="5" t="inlineStr">
        <is>
          <t>Decided by</t>
        </is>
      </c>
    </row>
    <row r="2">
      <c r="A2" s="6" t="inlineStr">
        <is>
          <t>W001</t>
        </is>
      </c>
      <c r="B2" s="6" t="inlineStr">
        <is>
          <t>Process</t>
        </is>
      </c>
      <c r="C2" s="6" t="inlineStr">
        <is>
          <t>Engine review, prototype outline, foundations</t>
        </is>
      </c>
      <c r="D2" s="6" t="inlineStr">
        <is>
          <t>Must</t>
        </is>
      </c>
      <c r="E2" s="6" t="inlineStr">
        <is>
          <t>Done</t>
        </is>
      </c>
      <c r="F2" s="6" t="inlineStr">
        <is>
          <t>docs/ENGINE_REVIEW.md, PROTOTYPE_OUTLINE.md, FOUNDATIONS.md</t>
        </is>
      </c>
      <c r="G2" s="6" t="inlineStr">
        <is>
          <t>Foundations</t>
        </is>
      </c>
      <c r="H2" s="6" t="inlineStr">
        <is>
          <t>Owner</t>
        </is>
      </c>
    </row>
    <row r="3">
      <c r="A3" s="6" t="inlineStr">
        <is>
          <t>W002</t>
        </is>
      </c>
      <c r="B3" s="6" t="inlineStr">
        <is>
          <t>Process</t>
        </is>
      </c>
      <c r="C3" s="6" t="inlineStr">
        <is>
          <t>Plan, approve, build, check; say plainly what wasn't verified</t>
        </is>
      </c>
      <c r="D3" s="6" t="inlineStr">
        <is>
          <t>Must</t>
        </is>
      </c>
      <c r="E3" s="6" t="inlineStr">
        <is>
          <t>In progress</t>
        </is>
      </c>
      <c r="F3" s="6" t="inlineStr">
        <is>
          <t>Standing rule, never 'done'</t>
        </is>
      </c>
      <c r="G3" s="6" t="inlineStr">
        <is>
          <t>Foundations 1</t>
        </is>
      </c>
      <c r="H3" s="6" t="inlineStr">
        <is>
          <t>Owner</t>
        </is>
      </c>
    </row>
    <row r="4">
      <c r="A4" s="6" t="inlineStr">
        <is>
          <t>W003</t>
        </is>
      </c>
      <c r="B4" s="6" t="inlineStr">
        <is>
          <t>Engine</t>
        </is>
      </c>
      <c r="C4" s="6" t="inlineStr">
        <is>
          <t>Carry the Voxistics engine across intact; take only the Voxistics game layer off (M0)</t>
        </is>
      </c>
      <c r="D4" s="6" t="inlineStr">
        <is>
          <t>Must</t>
        </is>
      </c>
      <c r="E4" s="6" t="inlineStr">
        <is>
          <t>Done</t>
        </is>
      </c>
      <c r="F4" s="6" t="inlineStr">
        <is>
          <t>M0 done, run on the owner's machine 2026-09-25</t>
        </is>
      </c>
      <c r="G4" s="6" t="inlineStr">
        <is>
          <t>Engine review 3</t>
        </is>
      </c>
      <c r="H4" s="6" t="inlineStr">
        <is>
          <t>Owner</t>
        </is>
      </c>
    </row>
    <row r="5">
      <c r="A5" s="6" t="inlineStr">
        <is>
          <t>W004</t>
        </is>
      </c>
      <c r="B5" s="6" t="inlineStr">
        <is>
          <t>Engine</t>
        </is>
      </c>
      <c r="C5" s="6" t="inlineStr">
        <is>
          <t>Lots of action without lag: cost scales with what's on screen or changing</t>
        </is>
      </c>
      <c r="D5" s="6" t="inlineStr">
        <is>
          <t>Must</t>
        </is>
      </c>
      <c r="E5" s="6" t="inlineStr">
        <is>
          <t>In progress</t>
        </is>
      </c>
      <c r="F5" s="6" t="inlineStr">
        <is>
          <t>Standing rule, never 'done'</t>
        </is>
      </c>
      <c r="G5" s="6" t="inlineStr">
        <is>
          <t>Foundations 4</t>
        </is>
      </c>
      <c r="H5" s="6" t="inlineStr">
        <is>
          <t>Owner</t>
        </is>
      </c>
    </row>
    <row r="6">
      <c r="A6" s="6" t="inlineStr">
        <is>
          <t>W005</t>
        </is>
      </c>
      <c r="B6" s="6" t="inlineStr">
        <is>
          <t>Engine</t>
        </is>
      </c>
      <c r="C6" s="6" t="inlineStr">
        <is>
          <t>60 fps floor; higher where the machine allows, with no jitter (interpolated rendering)</t>
        </is>
      </c>
      <c r="D6" s="6" t="inlineStr">
        <is>
          <t>Must</t>
        </is>
      </c>
      <c r="E6" s="6" t="inlineStr">
        <is>
          <t>In progress</t>
        </is>
      </c>
      <c r="F6" s="6" t="inlineStr">
        <is>
          <t>Interpolated rendering in M0.12; frame cap only with vsync off</t>
        </is>
      </c>
      <c r="G6" s="6" t="inlineStr">
        <is>
          <t>Outline D10</t>
        </is>
      </c>
      <c r="H6" s="6" t="inlineStr">
        <is>
          <t>Owner</t>
        </is>
      </c>
    </row>
    <row r="7">
      <c r="A7" s="6" t="inlineStr">
        <is>
          <t>W006</t>
        </is>
      </c>
      <c r="B7" s="6" t="inlineStr">
        <is>
          <t>Engine</t>
        </is>
      </c>
      <c r="C7" s="6" t="inlineStr">
        <is>
          <t>Working name walkgrid: project, window, save folder</t>
        </is>
      </c>
      <c r="D7" s="6" t="inlineStr">
        <is>
          <t>Must</t>
        </is>
      </c>
      <c r="E7" s="6" t="inlineStr">
        <is>
          <t>Done</t>
        </is>
      </c>
      <c r="F7" s="6" t="inlineStr">
        <is>
          <t>M0.10</t>
        </is>
      </c>
      <c r="G7" s="6" t="inlineStr">
        <is>
          <t>Outline D11</t>
        </is>
      </c>
      <c r="H7" s="6" t="inlineStr">
        <is>
          <t>Owner</t>
        </is>
      </c>
    </row>
    <row r="8">
      <c r="A8" s="6" t="inlineStr">
        <is>
          <t>W007</t>
        </is>
      </c>
      <c r="B8" s="6" t="inlineStr">
        <is>
          <t>Engine</t>
        </is>
      </c>
      <c r="C8" s="6" t="inlineStr">
        <is>
          <t>Layer rule plus tools/check_layers.sh</t>
        </is>
      </c>
      <c r="D8" s="6" t="inlineStr">
        <is>
          <t>Must</t>
        </is>
      </c>
      <c r="E8" s="6" t="inlineStr">
        <is>
          <t>Done</t>
        </is>
      </c>
      <c r="F8" s="6" t="inlineStr">
        <is>
          <t>0 violations; check_layers.py runs in tests/run.sh</t>
        </is>
      </c>
      <c r="G8" s="6" t="inlineStr">
        <is>
          <t>Foundations 2</t>
        </is>
      </c>
      <c r="H8" s="6" t="inlineStr">
        <is>
          <t>Owner</t>
        </is>
      </c>
    </row>
    <row r="9">
      <c r="A9" s="6" t="inlineStr">
        <is>
          <t>W008</t>
        </is>
      </c>
      <c r="B9" s="6" t="inlineStr">
        <is>
          <t>Engine</t>
        </is>
      </c>
      <c r="C9" s="6" t="inlineStr">
        <is>
          <t>Thread model: main thread owns world and graphics; 2 job threads build from copies; version stamps</t>
        </is>
      </c>
      <c r="D9" s="6" t="inlineStr">
        <is>
          <t>Must</t>
        </is>
      </c>
      <c r="E9" s="6" t="inlineStr">
        <is>
          <t>In progress</t>
        </is>
      </c>
      <c r="F9" s="6" t="inlineStr">
        <is>
          <t>jobs.h (M1.4): terrain on job threads with epochs; meshes from M1.5</t>
        </is>
      </c>
      <c r="G9" s="6" t="inlineStr">
        <is>
          <t>Foundations 3</t>
        </is>
      </c>
      <c r="H9" s="6" t="inlineStr">
        <is>
          <t>Owner</t>
        </is>
      </c>
    </row>
    <row r="10">
      <c r="A10" s="6" t="inlineStr">
        <is>
          <t>W009</t>
        </is>
      </c>
      <c r="B10" s="6" t="inlineStr">
        <is>
          <t>Engine</t>
        </is>
      </c>
      <c r="C10" s="6" t="inlineStr">
        <is>
          <t>Fresh walkgrid save format v1 (no Voxistics loaders)</t>
        </is>
      </c>
      <c r="D10" s="6" t="inlineStr">
        <is>
          <t>Must</t>
        </is>
      </c>
      <c r="E10" s="6" t="inlineStr">
        <is>
          <t>Done</t>
        </is>
      </c>
      <c r="F10" s="6" t="inlineStr">
        <is>
          <t>M0.9: worldfile v1 with a game section; Voxistics loaders removed</t>
        </is>
      </c>
      <c r="G10" s="6" t="inlineStr">
        <is>
          <t>Foundations 5</t>
        </is>
      </c>
      <c r="H10" s="6" t="inlineStr">
        <is>
          <t>Owner</t>
        </is>
      </c>
    </row>
    <row r="11">
      <c r="A11" s="6" t="inlineStr">
        <is>
          <t>W010</t>
        </is>
      </c>
      <c r="B11" s="6" t="inlineStr">
        <is>
          <t>Engine</t>
        </is>
      </c>
      <c r="C11" s="6" t="inlineStr">
        <is>
          <t>Camera-relative rendering (no jitter far from the start)</t>
        </is>
      </c>
      <c r="D11" s="6" t="inlineStr">
        <is>
          <t>Must</t>
        </is>
      </c>
      <c r="E11" s="6" t="inlineStr">
        <is>
          <t>Done</t>
        </is>
      </c>
      <c r="F11" s="6" t="inlineStr">
        <is>
          <t>M0.13, with a native test</t>
        </is>
      </c>
      <c r="G11" s="6" t="inlineStr">
        <is>
          <t>Foundations 4.2</t>
        </is>
      </c>
      <c r="H11" s="6" t="inlineStr">
        <is>
          <t>Owner</t>
        </is>
      </c>
    </row>
    <row r="12">
      <c r="A12" s="6" t="inlineStr">
        <is>
          <t>W011</t>
        </is>
      </c>
      <c r="B12" s="6" t="inlineStr">
        <is>
          <t>Engine</t>
        </is>
      </c>
      <c r="C12" s="6" t="inlineStr">
        <is>
          <t>Budgets per frame shown in F3</t>
        </is>
      </c>
      <c r="D12" s="6" t="inlineStr">
        <is>
          <t>Must</t>
        </is>
      </c>
      <c r="E12" s="6" t="inlineStr">
        <is>
          <t>Not started</t>
        </is>
      </c>
      <c r="F12" s="6" t="inlineStr">
        <is>
          <t>Numbers are conservative assumptions; tuned only from reports the owner chooses to share</t>
        </is>
      </c>
      <c r="G12" s="6" t="inlineStr">
        <is>
          <t>Foundations 4</t>
        </is>
      </c>
      <c r="H12" s="6" t="inlineStr">
        <is>
          <t>Owner</t>
        </is>
      </c>
    </row>
    <row r="13">
      <c r="A13" s="6" t="inlineStr">
        <is>
          <t>W012</t>
        </is>
      </c>
      <c r="B13" s="6" t="inlineStr">
        <is>
          <t>World</t>
        </is>
      </c>
      <c r="C13" s="6" t="inlineStr">
        <is>
          <t>Faceted surface over the existing grid (option A), not cubes, not blobs</t>
        </is>
      </c>
      <c r="D13" s="6" t="inlineStr">
        <is>
          <t>Must</t>
        </is>
      </c>
      <c r="E13" s="6" t="inlineStr">
        <is>
          <t>In progress</t>
        </is>
      </c>
      <c r="F13" s="6" t="inlineStr">
        <is>
          <t>In game from M1.5 (groundmesh.h, world shader); collision and picking in M1.7</t>
        </is>
      </c>
      <c r="G13" s="6" t="inlineStr">
        <is>
          <t>Outline 3</t>
        </is>
      </c>
      <c r="H13" s="6" t="inlineStr">
        <is>
          <t>Owner</t>
        </is>
      </c>
    </row>
    <row r="14">
      <c r="A14" s="6" t="inlineStr">
        <is>
          <t>W013</t>
        </is>
      </c>
      <c r="B14" s="6" t="inlineStr">
        <is>
          <t>World</t>
        </is>
      </c>
      <c r="C14" s="6" t="inlineStr">
        <is>
          <t>Smaller ground triangles near the player without hurting performance</t>
        </is>
      </c>
      <c r="D14" s="6" t="inlineStr">
        <is>
          <t>Must</t>
        </is>
      </c>
      <c r="E14" s="6" t="inlineStr">
        <is>
          <t>In progress</t>
        </is>
      </c>
      <c r="F14" s="6" t="inlineStr">
        <is>
          <t>Detail bands built (M1.8, D40): levels by distance with hysteresis, crack-free seams at any level pairing, FINE DETAIL setting</t>
        </is>
      </c>
      <c r="G14" s="6" t="inlineStr">
        <is>
          <t>Foundations 4.1</t>
        </is>
      </c>
      <c r="H14" s="6" t="inlineStr">
        <is>
          <t>Owner</t>
        </is>
      </c>
    </row>
    <row r="15">
      <c r="A15" s="6" t="inlineStr">
        <is>
          <t>W014</t>
        </is>
      </c>
      <c r="B15" s="6" t="inlineStr">
        <is>
          <t>World</t>
        </is>
      </c>
      <c r="C15" s="6" t="inlineStr">
        <is>
          <t>Walk around: walk, sprint, crouch, jump, slide on facets</t>
        </is>
      </c>
      <c r="D15" s="6" t="inlineStr">
        <is>
          <t>Must</t>
        </is>
      </c>
      <c r="E15" s="6" t="inlineStr">
        <is>
          <t>In progress</t>
        </is>
      </c>
      <c r="F15" s="6" t="inlineStr">
        <is>
          <t>On facets from M1.7 (collide.h, D39); scripted walks clean; owner to judge the feel (T6)</t>
        </is>
      </c>
      <c r="G15" s="6" t="inlineStr">
        <is>
          <t>Outline 5</t>
        </is>
      </c>
      <c r="H15" s="6" t="inlineStr">
        <is>
          <t>Owner</t>
        </is>
      </c>
    </row>
    <row r="16">
      <c r="A16" s="6" t="inlineStr">
        <is>
          <t>W015</t>
        </is>
      </c>
      <c r="B16" s="6" t="inlineStr">
        <is>
          <t>World</t>
        </is>
      </c>
      <c r="C16" s="6" t="inlineStr">
        <is>
          <t>Place and remove ground, one cell at a time, where the crosshair points</t>
        </is>
      </c>
      <c r="D16" s="6" t="inlineStr">
        <is>
          <t>Must</t>
        </is>
      </c>
      <c r="E16" s="6" t="inlineStr">
        <is>
          <t>In progress</t>
        </is>
      </c>
      <c r="F16" s="6" t="inlineStr">
        <is>
          <t>Picking on facets from M1.7; owner to check it lands where aimed (T8)</t>
        </is>
      </c>
      <c r="G16" s="6" t="inlineStr">
        <is>
          <t>Outline 5</t>
        </is>
      </c>
      <c r="H16" s="6" t="inlineStr">
        <is>
          <t>Owner</t>
        </is>
      </c>
    </row>
    <row r="17">
      <c r="A17" s="6" t="inlineStr">
        <is>
          <t>W016</t>
        </is>
      </c>
      <c r="B17" s="6" t="inlineStr">
        <is>
          <t>World</t>
        </is>
      </c>
      <c r="C17" s="6" t="inlineStr">
        <is>
          <t>Seeded test landscape: meadow, dirt, stone, sand regions</t>
        </is>
      </c>
      <c r="D17" s="6" t="inlineStr">
        <is>
          <t>Should</t>
        </is>
      </c>
      <c r="E17" s="6" t="inlineStr">
        <is>
          <t>Done</t>
        </is>
      </c>
      <c r="F17" s="6" t="inlineStr">
        <is>
          <t>walkgrid-hills v1 (M1.4, D37): seeded, pinned; pictures docs/pictures/m1_4</t>
        </is>
      </c>
      <c r="G17" s="6" t="inlineStr">
        <is>
          <t>Outline 3</t>
        </is>
      </c>
      <c r="H17" s="6" t="inlineStr">
        <is>
          <t>Claude (proposed)</t>
        </is>
      </c>
    </row>
    <row r="18">
      <c r="A18" s="6" t="inlineStr">
        <is>
          <t>W017</t>
        </is>
      </c>
      <c r="B18" s="6" t="inlineStr">
        <is>
          <t>Looks</t>
        </is>
      </c>
      <c r="C18" s="6" t="inlineStr">
        <is>
          <t>Textures and lighting carried over (sun, shadows, sky, fog, AO, bloom, glow)</t>
        </is>
      </c>
      <c r="D18" s="6" t="inlineStr">
        <is>
          <t>Must</t>
        </is>
      </c>
      <c r="E18" s="6" t="inlineStr">
        <is>
          <t>In progress</t>
        </is>
      </c>
      <c r="F18" s="6" t="inlineStr">
        <is>
          <t>Carried over and building; awaiting the owner's checklist T4 (M1.12)</t>
        </is>
      </c>
      <c r="G18" s="6" t="inlineStr">
        <is>
          <t>Outline D4</t>
        </is>
      </c>
      <c r="H18" s="6" t="inlineStr">
        <is>
          <t>Owner</t>
        </is>
      </c>
    </row>
    <row r="19">
      <c r="A19" s="6" t="inlineStr">
        <is>
          <t>W018</t>
        </is>
      </c>
      <c r="B19" s="6" t="inlineStr">
        <is>
          <t>Looks</t>
        </is>
      </c>
      <c r="C19" s="6" t="inlineStr">
        <is>
          <t>Smooth-filtered textures</t>
        </is>
      </c>
      <c r="D19" s="6" t="inlineStr">
        <is>
          <t>Must</t>
        </is>
      </c>
      <c r="E19" s="6" t="inlineStr">
        <is>
          <t>In progress</t>
        </is>
      </c>
      <c r="F19" s="6" t="inlineStr">
        <is>
          <t>M1.5: smooth (trilinear, 4x anisotropic) at every distance (D38); up close the 32 px art reads blurry: owner to judge</t>
        </is>
      </c>
      <c r="G19" s="6" t="inlineStr">
        <is>
          <t>Outline D8</t>
        </is>
      </c>
      <c r="H19" s="6" t="inlineStr">
        <is>
          <t>Owner</t>
        </is>
      </c>
    </row>
    <row r="20">
      <c r="A20" s="6" t="inlineStr">
        <is>
          <t>W019</t>
        </is>
      </c>
      <c r="B20" s="6" t="inlineStr">
        <is>
          <t>Looks</t>
        </is>
      </c>
      <c r="C20" s="6" t="inlineStr">
        <is>
          <t>Natural blending between materials (height-based)</t>
        </is>
      </c>
      <c r="D20" s="6" t="inlineStr">
        <is>
          <t>Must</t>
        </is>
      </c>
      <c r="E20" s="6" t="inlineStr">
        <is>
          <t>In progress</t>
        </is>
      </c>
      <c r="F20" s="6" t="inlineStr">
        <is>
          <t>Built in M1.6 (height layers, 3-material blend in the shader); owner to judge in game (T3)</t>
        </is>
      </c>
      <c r="G20" s="6" t="inlineStr">
        <is>
          <t>Outline 4</t>
        </is>
      </c>
      <c r="H20" s="6" t="inlineStr">
        <is>
          <t>Owner</t>
        </is>
      </c>
    </row>
    <row r="21">
      <c r="A21" s="6" t="inlineStr">
        <is>
          <t>W020</t>
        </is>
      </c>
      <c r="B21" s="6" t="inlineStr">
        <is>
          <t>Looks</t>
        </is>
      </c>
      <c r="C21" s="6" t="inlineStr">
        <is>
          <t>Sky light: pits, overhangs and hollows go dark</t>
        </is>
      </c>
      <c r="D21" s="6" t="inlineStr">
        <is>
          <t>Should</t>
        </is>
      </c>
      <c r="E21" s="6" t="inlineStr">
        <is>
          <t>In progress</t>
        </is>
      </c>
      <c r="F21" s="6" t="inlineStr">
        <is>
          <t>Built in M1.6 (column tops, horizon sky light per vertex); owner to judge (T5)</t>
        </is>
      </c>
      <c r="G21" s="6" t="inlineStr">
        <is>
          <t>Outline D4</t>
        </is>
      </c>
      <c r="H21" s="6" t="inlineStr">
        <is>
          <t>Claude (proposed)</t>
        </is>
      </c>
    </row>
    <row r="22">
      <c r="A22" s="6" t="inlineStr">
        <is>
          <t>W021</t>
        </is>
      </c>
      <c r="B22" s="6" t="inlineStr">
        <is>
          <t>Sound</t>
        </is>
      </c>
      <c r="C22" s="6" t="inlineStr">
        <is>
          <t>Day-cycle music as in Voxistics</t>
        </is>
      </c>
      <c r="D22" s="6" t="inlineStr">
        <is>
          <t>Must</t>
        </is>
      </c>
      <c r="E22" s="6" t="inlineStr">
        <is>
          <t>In progress</t>
        </is>
      </c>
      <c r="F22" s="6" t="inlineStr">
        <is>
          <t>Carried over and building; awaiting the owner's checklist T10 (M1.12)</t>
        </is>
      </c>
      <c r="G22" s="6" t="inlineStr">
        <is>
          <t>Outline D2</t>
        </is>
      </c>
      <c r="H22" s="6" t="inlineStr">
        <is>
          <t>Owner</t>
        </is>
      </c>
    </row>
    <row r="23">
      <c r="A23" s="6" t="inlineStr">
        <is>
          <t>W022</t>
        </is>
      </c>
      <c r="B23" s="6" t="inlineStr">
        <is>
          <t>Sound</t>
        </is>
      </c>
      <c r="C23" s="6" t="inlineStr">
        <is>
          <t>Footsteps on the beat, by gait and ground material</t>
        </is>
      </c>
      <c r="D23" s="6" t="inlineStr">
        <is>
          <t>Must</t>
        </is>
      </c>
      <c r="E23" s="6" t="inlineStr">
        <is>
          <t>In progress</t>
        </is>
      </c>
      <c r="F23" s="6" t="inlineStr">
        <is>
          <t>Checklist T7. Louder and brighter (D29). Clips at three footstep ceilings made in M1.12 (D44); the game stays at -21 dB until the owner picks</t>
        </is>
      </c>
      <c r="G23" s="6" t="inlineStr">
        <is>
          <t>Outline 5</t>
        </is>
      </c>
      <c r="H23" s="6" t="inlineStr">
        <is>
          <t>Owner</t>
        </is>
      </c>
    </row>
    <row r="24">
      <c r="A24" s="6" t="inlineStr">
        <is>
          <t>W023</t>
        </is>
      </c>
      <c r="B24" s="6" t="inlineStr">
        <is>
          <t>Sound</t>
        </is>
      </c>
      <c r="C24" s="6" t="inlineStr">
        <is>
          <t>Reactive sound effects that don't interfere with the music</t>
        </is>
      </c>
      <c r="D24" s="6" t="inlineStr">
        <is>
          <t>Must</t>
        </is>
      </c>
      <c r="E24" s="6" t="inlineStr">
        <is>
          <t>In progress</t>
        </is>
      </c>
      <c r="F24" s="6" t="inlineStr">
        <is>
          <t>Carried over and building; awaiting the owner's checklist T9 (M1.12)</t>
        </is>
      </c>
      <c r="G24" s="6" t="inlineStr">
        <is>
          <t>Outline D3</t>
        </is>
      </c>
      <c r="H24" s="6" t="inlineStr">
        <is>
          <t>Owner</t>
        </is>
      </c>
    </row>
    <row r="25">
      <c r="A25" s="6" t="inlineStr">
        <is>
          <t>W024</t>
        </is>
      </c>
      <c r="B25" s="6" t="inlineStr">
        <is>
          <t>Sound</t>
        </is>
      </c>
      <c r="C25" s="6" t="inlineStr">
        <is>
          <t>Effects on their own thread, with a voice cap</t>
        </is>
      </c>
      <c r="D25" s="6" t="inlineStr">
        <is>
          <t>Should</t>
        </is>
      </c>
      <c r="E25" s="6" t="inlineStr">
        <is>
          <t>In progress</t>
        </is>
      </c>
      <c r="F25" s="6" t="inlineStr">
        <is>
          <t>Built in M1.1 (own thread, mailbox, 48-voice cap tested); awaiting the owner's Ctrl+F3 report</t>
        </is>
      </c>
      <c r="G25" s="6" t="inlineStr">
        <is>
          <t>Outline D3</t>
        </is>
      </c>
      <c r="H25" s="6" t="inlineStr">
        <is>
          <t>Claude (proposed)</t>
        </is>
      </c>
    </row>
    <row r="26">
      <c r="A26" s="6" t="inlineStr">
        <is>
          <t>W025</t>
        </is>
      </c>
      <c r="B26" s="6" t="inlineStr">
        <is>
          <t>Controls</t>
        </is>
      </c>
      <c r="C26" s="6" t="inlineStr">
        <is>
          <t>First person only</t>
        </is>
      </c>
      <c r="D26" s="6" t="inlineStr">
        <is>
          <t>Must</t>
        </is>
      </c>
      <c r="E26" s="6" t="inlineStr">
        <is>
          <t>Not started</t>
        </is>
      </c>
      <c r="F26" s="6" t="n"/>
      <c r="G26" s="6" t="inlineStr">
        <is>
          <t>Outline D9</t>
        </is>
      </c>
      <c r="H26" s="6" t="inlineStr">
        <is>
          <t>Owner</t>
        </is>
      </c>
    </row>
    <row r="27">
      <c r="A27" s="6" t="inlineStr">
        <is>
          <t>W026</t>
        </is>
      </c>
      <c r="B27" s="6" t="inlineStr">
        <is>
          <t>Controls</t>
        </is>
      </c>
      <c r="C27" s="6" t="inlineStr">
        <is>
          <t>Raw mouse input</t>
        </is>
      </c>
      <c r="D27" s="6" t="inlineStr">
        <is>
          <t>Should</t>
        </is>
      </c>
      <c r="E27" s="6" t="inlineStr">
        <is>
          <t>Done</t>
        </is>
      </c>
      <c r="F27" s="6" t="inlineStr">
        <is>
          <t>M0.14; awaiting the feel check (C5)</t>
        </is>
      </c>
      <c r="G27" s="6" t="inlineStr">
        <is>
          <t>Engine review 2.7</t>
        </is>
      </c>
      <c r="H27" s="6" t="inlineStr">
        <is>
          <t>Claude (proposed)</t>
        </is>
      </c>
    </row>
    <row r="28">
      <c r="A28" s="6" t="inlineStr">
        <is>
          <t>W027</t>
        </is>
      </c>
      <c r="B28" s="6" t="inlineStr">
        <is>
          <t>Controls</t>
        </is>
      </c>
      <c r="C28" s="6" t="inlineStr">
        <is>
          <t>Choose materials from the library menu; hotbar kept for now</t>
        </is>
      </c>
      <c r="D28" s="6" t="inlineStr">
        <is>
          <t>Should</t>
        </is>
      </c>
      <c r="E28" s="6" t="inlineStr">
        <is>
          <t>In progress</t>
        </is>
      </c>
      <c r="F28" s="6" t="inlineStr">
        <is>
          <t>Owner (D30): materials chosen in the library (twelve, M1.9, faceted-lump icons); the hotbar stays as a placeholder</t>
        </is>
      </c>
      <c r="G28" s="6" t="inlineStr">
        <is>
          <t>Decisions D30</t>
        </is>
      </c>
      <c r="H28" s="6" t="inlineStr">
        <is>
          <t>Owner</t>
        </is>
      </c>
    </row>
    <row r="29">
      <c r="A29" s="6" t="inlineStr">
        <is>
          <t>W028</t>
        </is>
      </c>
      <c r="B29" s="6" t="inlineStr">
        <is>
          <t>Menus</t>
        </is>
      </c>
      <c r="C29" s="6" t="inlineStr">
        <is>
          <t>Title, slots, pause, options (look, graphics, display, audio, keys, accessibility), saves</t>
        </is>
      </c>
      <c r="D29" s="6" t="inlineStr">
        <is>
          <t>Should</t>
        </is>
      </c>
      <c r="E29" s="6" t="inlineStr">
        <is>
          <t>In progress</t>
        </is>
      </c>
      <c r="F29" s="6" t="inlineStr">
        <is>
          <t>Carried over and building; awaiting the owner's checklist T11 (M1.12)</t>
        </is>
      </c>
      <c r="G29" s="6" t="inlineStr">
        <is>
          <t>Outline 7</t>
        </is>
      </c>
      <c r="H29" s="6" t="inlineStr">
        <is>
          <t>Claude (proposed)</t>
        </is>
      </c>
    </row>
    <row r="30">
      <c r="A30" s="6" t="inlineStr">
        <is>
          <t>W029</t>
        </is>
      </c>
      <c r="B30" s="6" t="inlineStr">
        <is>
          <t>Debug &amp; checks</t>
        </is>
      </c>
      <c r="C30" s="6" t="inlineStr">
        <is>
          <t>Screenshot key</t>
        </is>
      </c>
      <c r="D30" s="6" t="inlineStr">
        <is>
          <t>Should</t>
        </is>
      </c>
      <c r="E30" s="6" t="inlineStr">
        <is>
          <t>In progress</t>
        </is>
      </c>
      <c r="F30" s="6" t="inlineStr">
        <is>
          <t>F2; built, awaiting the owner's check on Windows</t>
        </is>
      </c>
      <c r="G30" s="6" t="inlineStr">
        <is>
          <t>Foundations 7</t>
        </is>
      </c>
      <c r="H30" s="6" t="inlineStr">
        <is>
          <t>Claude (proposed)</t>
        </is>
      </c>
    </row>
    <row r="31">
      <c r="A31" s="6" t="inlineStr">
        <is>
          <t>W030</t>
        </is>
      </c>
      <c r="B31" s="6" t="inlineStr">
        <is>
          <t>Debug &amp; checks</t>
        </is>
      </c>
      <c r="C31" s="6" t="inlineStr">
        <is>
          <t>MinGW cross-compile and shader check set up here</t>
        </is>
      </c>
      <c r="D31" s="6" t="inlineStr">
        <is>
          <t>Should</t>
        </is>
      </c>
      <c r="E31" s="6" t="inlineStr">
        <is>
          <t>Done</t>
        </is>
      </c>
      <c r="F31" s="6" t="inlineStr">
        <is>
          <t>tools/check_mingw.sh; shader check runs clean</t>
        </is>
      </c>
      <c r="G31" s="6" t="inlineStr">
        <is>
          <t>Foundations 7</t>
        </is>
      </c>
      <c r="H31" s="6" t="inlineStr">
        <is>
          <t>Claude (proposed)</t>
        </is>
      </c>
    </row>
    <row r="32">
      <c r="A32" s="6" t="inlineStr">
        <is>
          <t>W031</t>
        </is>
      </c>
      <c r="B32" s="6" t="inlineStr">
        <is>
          <t>Debug &amp; checks</t>
        </is>
      </c>
      <c r="C32" s="6" t="inlineStr">
        <is>
          <t>CPU still-image preview of faceted ground (with triangle counts)</t>
        </is>
      </c>
      <c r="D32" s="6" t="inlineStr">
        <is>
          <t>Should</t>
        </is>
      </c>
      <c r="E32" s="6" t="inlineStr">
        <is>
          <t>Done</t>
        </is>
      </c>
      <c r="F32" s="6" t="inlineStr">
        <is>
          <t>M1.2: tools/facet_preview.sh; pictures in docs/pictures/m1_2</t>
        </is>
      </c>
      <c r="G32" s="6" t="inlineStr">
        <is>
          <t>Foundations 4.1</t>
        </is>
      </c>
      <c r="H32" s="6" t="inlineStr">
        <is>
          <t>Claude (proposed)</t>
        </is>
      </c>
    </row>
    <row r="33">
      <c r="A33" s="6" t="inlineStr">
        <is>
          <t>W032</t>
        </is>
      </c>
      <c r="B33" s="6" t="inlineStr">
        <is>
          <t>Debug &amp; checks</t>
        </is>
      </c>
      <c r="C33" s="6" t="inlineStr">
        <is>
          <t>Release performance check on the owner's PC (Ctrl+F3 report)</t>
        </is>
      </c>
      <c r="D33" s="6" t="inlineStr">
        <is>
          <t>Should</t>
        </is>
      </c>
      <c r="E33" s="6" t="inlineStr">
        <is>
          <t>Done</t>
        </is>
      </c>
      <c r="F33" s="6" t="inlineStr">
        <is>
          <t>Two Ctrl+F3 reports from the owner, 2026-09-26 (199 fps, no hitches): docs/COST_LEDGER.md</t>
        </is>
      </c>
      <c r="G33" s="6" t="inlineStr">
        <is>
          <t>Foundations 7</t>
        </is>
      </c>
      <c r="H33" s="6" t="inlineStr">
        <is>
          <t>Claude (proposed)</t>
        </is>
      </c>
    </row>
    <row r="34">
      <c r="A34" s="6" t="inlineStr">
        <is>
          <t>W033</t>
        </is>
      </c>
      <c r="B34" s="6" t="inlineStr">
        <is>
          <t>Docs</t>
        </is>
      </c>
      <c r="C34" s="6" t="inlineStr">
        <is>
          <t>New CLAUDE.md, DESIGN.md and DECISIONS.md; Voxistics docs archived</t>
        </is>
      </c>
      <c r="D34" s="6" t="inlineStr">
        <is>
          <t>Should</t>
        </is>
      </c>
      <c r="E34" s="6" t="inlineStr">
        <is>
          <t>Done</t>
        </is>
      </c>
      <c r="F34" s="6" t="inlineStr">
        <is>
          <t>CLAUDE.md and DESIGN.md done; DECISIONS.md done</t>
        </is>
      </c>
      <c r="G34" s="6" t="inlineStr">
        <is>
          <t>Foundations 6</t>
        </is>
      </c>
      <c r="H34" s="6" t="inlineStr">
        <is>
          <t>Claude (proposed)</t>
        </is>
      </c>
    </row>
    <row r="35">
      <c r="A35" s="6" t="inlineStr">
        <is>
          <t>W034</t>
        </is>
      </c>
      <c r="B35" s="6" t="inlineStr">
        <is>
          <t>Docs</t>
        </is>
      </c>
      <c r="C35" s="6" t="inlineStr">
        <is>
          <t>Split game.cpp into input, menus, hud</t>
        </is>
      </c>
      <c r="D35" s="6" t="inlineStr">
        <is>
          <t>Should</t>
        </is>
      </c>
      <c r="E35" s="6" t="inlineStr">
        <is>
          <t>Done</t>
        </is>
      </c>
      <c r="F35" s="6" t="inlineStr">
        <is>
          <t>M0.11</t>
        </is>
      </c>
      <c r="G35" s="6" t="inlineStr">
        <is>
          <t>Engine review 2.7</t>
        </is>
      </c>
      <c r="H35" s="6" t="inlineStr">
        <is>
          <t>Claude (proposed)</t>
        </is>
      </c>
    </row>
    <row r="36">
      <c r="A36" s="6" t="inlineStr">
        <is>
          <t>W035</t>
        </is>
      </c>
      <c r="B36" s="6" t="inlineStr">
        <is>
          <t>Later</t>
        </is>
      </c>
      <c r="C36" s="6" t="inlineStr">
        <is>
          <t>Third person and an animated player model</t>
        </is>
      </c>
      <c r="D36" s="6" t="inlineStr">
        <is>
          <t>Won't</t>
        </is>
      </c>
      <c r="E36" s="6" t="inlineStr">
        <is>
          <t>Parked</t>
        </is>
      </c>
      <c r="F36" s="6" t="inlineStr">
        <is>
          <t>If wanted</t>
        </is>
      </c>
      <c r="G36" s="6" t="inlineStr">
        <is>
          <t>Outline D9</t>
        </is>
      </c>
      <c r="H36" s="6" t="inlineStr">
        <is>
          <t>Owner</t>
        </is>
      </c>
    </row>
    <row r="37">
      <c r="A37" s="6" t="inlineStr">
        <is>
          <t>W036</t>
        </is>
      </c>
      <c r="B37" s="6" t="inlineStr">
        <is>
          <t>Later</t>
        </is>
      </c>
      <c r="C37" s="6" t="inlineStr">
        <is>
          <t>Death metal music</t>
        </is>
      </c>
      <c r="D37" s="6" t="inlineStr">
        <is>
          <t>Won't</t>
        </is>
      </c>
      <c r="E37" s="6" t="inlineStr">
        <is>
          <t>Parked</t>
        </is>
      </c>
      <c r="F37" s="6" t="inlineStr">
        <is>
          <t>Real instruments are hard to emulate</t>
        </is>
      </c>
      <c r="G37" s="6" t="inlineStr">
        <is>
          <t>Outline D2</t>
        </is>
      </c>
      <c r="H37" s="6" t="inlineStr">
        <is>
          <t>Owner</t>
        </is>
      </c>
    </row>
    <row r="38">
      <c r="A38" s="6" t="inlineStr">
        <is>
          <t>W037</t>
        </is>
      </c>
      <c r="B38" s="6" t="inlineStr">
        <is>
          <t>Later</t>
        </is>
      </c>
      <c r="C38" s="6" t="inlineStr">
        <is>
          <t>Action systems: enemies, projectiles, particles, with budgets</t>
        </is>
      </c>
      <c r="D38" s="6" t="inlineStr">
        <is>
          <t>Won't</t>
        </is>
      </c>
      <c r="E38" s="6" t="inlineStr">
        <is>
          <t>Parked</t>
        </is>
      </c>
      <c r="F38" s="6" t="n"/>
      <c r="G38" s="6" t="inlineStr">
        <is>
          <t>Outline 2</t>
        </is>
      </c>
      <c r="H38" s="6" t="inlineStr">
        <is>
          <t>Owner</t>
        </is>
      </c>
    </row>
    <row r="39">
      <c r="A39" s="6" t="inlineStr">
        <is>
          <t>W038</t>
        </is>
      </c>
      <c r="B39" s="6" t="inlineStr">
        <is>
          <t>Later</t>
        </is>
      </c>
      <c r="C39" s="6" t="inlineStr">
        <is>
          <t>Real terrain generator with caves</t>
        </is>
      </c>
      <c r="D39" s="6" t="inlineStr">
        <is>
          <t>Won't</t>
        </is>
      </c>
      <c r="E39" s="6" t="inlineStr">
        <is>
          <t>Parked</t>
        </is>
      </c>
      <c r="F39" s="6" t="n"/>
      <c r="G39" s="6" t="inlineStr">
        <is>
          <t>Outline 2</t>
        </is>
      </c>
      <c r="H39" s="6" t="inlineStr">
        <is>
          <t>Owner</t>
        </is>
      </c>
    </row>
    <row r="40">
      <c r="A40" s="6" t="inlineStr">
        <is>
          <t>W039</t>
        </is>
      </c>
      <c r="B40" s="6" t="inlineStr">
        <is>
          <t>Later</t>
        </is>
      </c>
      <c r="C40" s="6" t="inlineStr">
        <is>
          <t>Unsupported ground falls (Voxistics gravity)</t>
        </is>
      </c>
      <c r="D40" s="6" t="inlineStr">
        <is>
          <t>Won't</t>
        </is>
      </c>
      <c r="E40" s="6" t="inlineStr">
        <is>
          <t>Parked</t>
        </is>
      </c>
      <c r="F40" s="6" t="inlineStr">
        <is>
          <t>Revisit after the first test</t>
        </is>
      </c>
      <c r="G40" s="6" t="inlineStr">
        <is>
          <t>Outline 7</t>
        </is>
      </c>
      <c r="H40" s="6" t="inlineStr">
        <is>
          <t>Owner</t>
        </is>
      </c>
    </row>
    <row r="41">
      <c r="A41" s="6" t="inlineStr">
        <is>
          <t>W040</t>
        </is>
      </c>
      <c r="B41" s="6" t="inlineStr">
        <is>
          <t>Later</t>
        </is>
      </c>
      <c r="C41" s="6" t="inlineStr">
        <is>
          <t>Covered grass dies back to dirt</t>
        </is>
      </c>
      <c r="D41" s="6" t="inlineStr">
        <is>
          <t>Won't</t>
        </is>
      </c>
      <c r="E41" s="6" t="inlineStr">
        <is>
          <t>Parked</t>
        </is>
      </c>
      <c r="F41" s="6" t="inlineStr">
        <is>
          <t>Revisit after the first test</t>
        </is>
      </c>
      <c r="G41" s="6" t="inlineStr">
        <is>
          <t>Outline 7</t>
        </is>
      </c>
      <c r="H41" s="6" t="inlineStr">
        <is>
          <t>Owner</t>
        </is>
      </c>
    </row>
    <row r="42">
      <c r="A42" s="6" t="inlineStr">
        <is>
          <t>W041</t>
        </is>
      </c>
      <c r="B42" s="6" t="inlineStr">
        <is>
          <t>Later</t>
        </is>
      </c>
      <c r="C42" s="6" t="inlineStr">
        <is>
          <t>Plants that turn to face you</t>
        </is>
      </c>
      <c r="D42" s="6" t="inlineStr">
        <is>
          <t>Won't</t>
        </is>
      </c>
      <c r="E42" s="6" t="inlineStr">
        <is>
          <t>Parked</t>
        </is>
      </c>
      <c r="F42" s="6" t="inlineStr">
        <is>
          <t>Revisit after the first test</t>
        </is>
      </c>
      <c r="G42" s="6" t="inlineStr">
        <is>
          <t>Outline 7</t>
        </is>
      </c>
      <c r="H42" s="6" t="inlineStr">
        <is>
          <t>Owner</t>
        </is>
      </c>
    </row>
    <row r="43">
      <c r="A43" s="6" t="inlineStr">
        <is>
          <t>W042</t>
        </is>
      </c>
      <c r="B43" s="6" t="inlineStr">
        <is>
          <t>Later</t>
        </is>
      </c>
      <c r="C43" s="6" t="inlineStr">
        <is>
          <t>See-through materials (glass, ice, water)</t>
        </is>
      </c>
      <c r="D43" s="6" t="inlineStr">
        <is>
          <t>Won't</t>
        </is>
      </c>
      <c r="E43" s="6" t="inlineStr">
        <is>
          <t>Parked</t>
        </is>
      </c>
      <c r="F43" s="6" t="n"/>
      <c r="G43" s="6" t="inlineStr">
        <is>
          <t>Outline 7</t>
        </is>
      </c>
      <c r="H43" s="6" t="inlineStr">
        <is>
          <t>Claude (proposed)</t>
        </is>
      </c>
    </row>
    <row r="44">
      <c r="A44" s="6" t="inlineStr">
        <is>
          <t>W043</t>
        </is>
      </c>
      <c r="B44" s="6" t="inlineStr">
        <is>
          <t>Later</t>
        </is>
      </c>
      <c r="C44" s="6" t="inlineStr">
        <is>
          <t>Colour-vision modes; first-steps tutorial</t>
        </is>
      </c>
      <c r="D44" s="6" t="inlineStr">
        <is>
          <t>Won't</t>
        </is>
      </c>
      <c r="E44" s="6" t="inlineStr">
        <is>
          <t>Parked</t>
        </is>
      </c>
      <c r="F44" s="6" t="inlineStr">
        <is>
          <t>Served Voxistics features; accessibility no longer a standing rule (D24)</t>
        </is>
      </c>
      <c r="G44" s="6" t="inlineStr">
        <is>
          <t>Outline 7</t>
        </is>
      </c>
      <c r="H44" s="6" t="inlineStr">
        <is>
          <t>Claude (proposed)</t>
        </is>
      </c>
    </row>
    <row r="45">
      <c r="A45" s="6" t="inlineStr">
        <is>
          <t>W044</t>
        </is>
      </c>
      <c r="B45" s="6" t="inlineStr">
        <is>
          <t>Later</t>
        </is>
      </c>
      <c r="C45" s="6" t="inlineStr">
        <is>
          <t>Gamepad support</t>
        </is>
      </c>
      <c r="D45" s="6" t="inlineStr">
        <is>
          <t>Won't</t>
        </is>
      </c>
      <c r="E45" s="6" t="inlineStr">
        <is>
          <t>Parked</t>
        </is>
      </c>
      <c r="F45" s="6" t="n"/>
      <c r="G45" s="6" t="inlineStr">
        <is>
          <t>Engine review 2.7</t>
        </is>
      </c>
      <c r="H45" s="6" t="inlineStr">
        <is>
          <t>Claude (proposed)</t>
        </is>
      </c>
    </row>
    <row r="46">
      <c r="A46" s="6" t="inlineStr">
        <is>
          <t>W045</t>
        </is>
      </c>
      <c r="B46" s="6" t="inlineStr">
        <is>
          <t>Engine</t>
        </is>
      </c>
      <c r="C46" s="6" t="inlineStr">
        <is>
          <t>Render only what can be seen; preload what may be seen soon</t>
        </is>
      </c>
      <c r="D46" s="6" t="inlineStr">
        <is>
          <t>Must</t>
        </is>
      </c>
      <c r="E46" s="6" t="inlineStr">
        <is>
          <t>Done</t>
        </is>
      </c>
      <c r="F46" s="6" t="inlineStr">
        <is>
          <t>Frustum culling; hidden-chunk skipping and heading-aware loading built in M1 step 1.11 (D43). Awaiting a Ctrl+F3 report (CHUNKS HIDDEN)</t>
        </is>
      </c>
      <c r="G46" s="6" t="inlineStr">
        <is>
          <t>Foundations 4.3</t>
        </is>
      </c>
      <c r="H46" s="6" t="inlineStr">
        <is>
          <t>Owner</t>
        </is>
      </c>
    </row>
    <row r="47">
      <c r="A47" s="6" t="inlineStr">
        <is>
          <t>W046</t>
        </is>
      </c>
      <c r="B47" s="6" t="inlineStr">
        <is>
          <t>Engine</t>
        </is>
      </c>
      <c r="C47" s="6" t="inlineStr">
        <is>
          <t>Graphics minimum: Direct3D feature level 11.0, shader model 5.0</t>
        </is>
      </c>
      <c r="D47" s="6" t="inlineStr">
        <is>
          <t>Must</t>
        </is>
      </c>
      <c r="E47" s="6" t="inlineStr">
        <is>
          <t>Done</t>
        </is>
      </c>
      <c r="F47" s="6" t="inlineStr">
        <is>
          <t>M0.16; awaiting the Windows build to confirm D3DCompile accepts SM5</t>
        </is>
      </c>
      <c r="G47" s="6" t="inlineStr">
        <is>
          <t>Decisions D20</t>
        </is>
      </c>
      <c r="H47" s="6" t="inlineStr">
        <is>
          <t>Owner</t>
        </is>
      </c>
    </row>
    <row r="48">
      <c r="A48" s="6" t="inlineStr">
        <is>
          <t>W047</t>
        </is>
      </c>
      <c r="B48" s="6" t="inlineStr">
        <is>
          <t>Engine</t>
        </is>
      </c>
      <c r="C48" s="6" t="inlineStr">
        <is>
          <t>Harmless reads of OS limits only (thread count, video-memory budget); never kept or shown</t>
        </is>
      </c>
      <c r="D48" s="6" t="inlineStr">
        <is>
          <t>Must</t>
        </is>
      </c>
      <c r="E48" s="6" t="inlineStr">
        <is>
          <t>In progress</t>
        </is>
      </c>
      <c r="F48" s="6" t="inlineStr">
        <is>
          <t>Standing rule (D21)</t>
        </is>
      </c>
      <c r="G48" s="6" t="inlineStr">
        <is>
          <t>Decisions D21</t>
        </is>
      </c>
      <c r="H48" s="6" t="inlineStr">
        <is>
          <t>Owner</t>
        </is>
      </c>
    </row>
    <row r="49">
      <c r="A49" s="6" t="inlineStr">
        <is>
          <t>W048</t>
        </is>
      </c>
      <c r="B49" s="6" t="inlineStr">
        <is>
          <t>Engine</t>
        </is>
      </c>
      <c r="C49" s="6" t="inlineStr">
        <is>
          <t>No online play, no network code</t>
        </is>
      </c>
      <c r="D49" s="6" t="inlineStr">
        <is>
          <t>Must</t>
        </is>
      </c>
      <c r="E49" s="6" t="inlineStr">
        <is>
          <t>In progress</t>
        </is>
      </c>
      <c r="F49" s="6" t="inlineStr">
        <is>
          <t>Standing rule, never 'done' (D23)</t>
        </is>
      </c>
      <c r="G49" s="6" t="inlineStr">
        <is>
          <t>Decisions D23</t>
        </is>
      </c>
      <c r="H49" s="6" t="inlineStr">
        <is>
          <t>Owner</t>
        </is>
      </c>
    </row>
    <row r="50">
      <c r="A50" s="6" t="inlineStr">
        <is>
          <t>W049</t>
        </is>
      </c>
      <c r="B50" s="6" t="inlineStr">
        <is>
          <t>Sound</t>
        </is>
      </c>
      <c r="C50" s="6" t="inlineStr">
        <is>
          <t>Synthesized sound only: no recorded or sampled audio</t>
        </is>
      </c>
      <c r="D50" s="6" t="inlineStr">
        <is>
          <t>Must</t>
        </is>
      </c>
      <c r="E50" s="6" t="inlineStr">
        <is>
          <t>In progress</t>
        </is>
      </c>
      <c r="F50" s="6" t="inlineStr">
        <is>
          <t>Standing rule, never 'done' (D25)</t>
        </is>
      </c>
      <c r="G50" s="6" t="inlineStr">
        <is>
          <t>Decisions D25</t>
        </is>
      </c>
      <c r="H50" s="6" t="inlineStr">
        <is>
          <t>Owner</t>
        </is>
      </c>
    </row>
    <row r="51">
      <c r="A51" s="6" t="inlineStr">
        <is>
          <t>W050</t>
        </is>
      </c>
      <c r="B51" s="6" t="inlineStr">
        <is>
          <t>Menus</t>
        </is>
      </c>
      <c r="C51" s="6" t="inlineStr">
        <is>
          <t>Text ready for any language: string table, wider font atlas</t>
        </is>
      </c>
      <c r="D51" s="6" t="inlineStr">
        <is>
          <t>Must</t>
        </is>
      </c>
      <c r="E51" s="6" t="inlineStr">
        <is>
          <t>Done</t>
        </is>
      </c>
      <c r="F51" s="6" t="inlineStr">
        <is>
          <t>M1 step 1.10 (D26, D42): assets/text, strtable.*, atlas from the table, check_strings.py. Awaiting the owner's check (test language)</t>
        </is>
      </c>
      <c r="G51" s="6" t="inlineStr">
        <is>
          <t>Decisions D26</t>
        </is>
      </c>
      <c r="H51" s="6" t="inlineStr">
        <is>
          <t>Owner</t>
        </is>
      </c>
    </row>
    <row r="52">
      <c r="A52" s="6" t="inlineStr">
        <is>
          <t>W051</t>
        </is>
      </c>
      <c r="B52" s="6" t="inlineStr">
        <is>
          <t>Process</t>
        </is>
      </c>
      <c r="C52" s="6" t="inlineStr">
        <is>
          <t>SOP binding, two tiers; hooks capped and listed</t>
        </is>
      </c>
      <c r="D52" s="6" t="inlineStr">
        <is>
          <t>Must</t>
        </is>
      </c>
      <c r="E52" s="6" t="inlineStr">
        <is>
          <t>Done</t>
        </is>
      </c>
      <c r="F52" s="6" t="inlineStr">
        <is>
          <t>docs/SOP.md; FOUNDATIONS.md 2.1 (D27)</t>
        </is>
      </c>
      <c r="G52" s="6" t="inlineStr">
        <is>
          <t>Decisions D27</t>
        </is>
      </c>
      <c r="H52" s="6" t="inlineStr">
        <is>
          <t>Owner</t>
        </is>
      </c>
    </row>
    <row r="53">
      <c r="A53" s="6" t="inlineStr">
        <is>
          <t>W052</t>
        </is>
      </c>
      <c r="B53" s="6" t="inlineStr">
        <is>
          <t>Looks</t>
        </is>
      </c>
      <c r="C53" s="6" t="inlineStr">
        <is>
          <t>Twelve starting materials, chosen on contact sheets</t>
        </is>
      </c>
      <c r="D53" s="6" t="inlineStr">
        <is>
          <t>Should</t>
        </is>
      </c>
      <c r="E53" s="6" t="inlineStr">
        <is>
          <t>Done</t>
        </is>
      </c>
      <c r="F53" s="6" t="inlineStr">
        <is>
          <t>D36, provisional until the owner confirms; docs/pictures/m1_3</t>
        </is>
      </c>
      <c r="G53" s="6" t="inlineStr">
        <is>
          <t>Decisions D36</t>
        </is>
      </c>
      <c r="H53" s="6" t="inlineStr">
        <is>
          <t>Claude (proposed)</t>
        </is>
      </c>
    </row>
    <row r="54">
      <c r="A54" s="6" t="inlineStr">
        <is>
          <t>W053</t>
        </is>
      </c>
      <c r="B54" s="6" t="inlineStr">
        <is>
          <t>Sound</t>
        </is>
      </c>
      <c r="C54" s="6" t="inlineStr">
        <is>
          <t>Sand sounds like sand underfoot (its own soft hiss)</t>
        </is>
      </c>
      <c r="D54" s="6" t="inlineStr">
        <is>
          <t>Could</t>
        </is>
      </c>
      <c r="E54" s="6" t="inlineStr">
        <is>
          <t>Done</t>
        </is>
      </c>
      <c r="F54" s="6" t="inlineStr">
        <is>
          <t>Added in M1.12 so T7's four grounds differ (D44); waits until the owner can hear footsteps (D48)</t>
        </is>
      </c>
      <c r="G54" s="6" t="inlineStr">
        <is>
          <t>Sound palette R1</t>
        </is>
      </c>
      <c r="H54" s="6" t="inlineStr">
        <is>
          <t>Claude (proposed)</t>
        </is>
      </c>
    </row>
    <row r="55">
      <c r="A55" s="6" t="inlineStr">
        <is>
          <t>W054</t>
        </is>
      </c>
      <c r="B55" s="6" t="inlineStr">
        <is>
          <t>World</t>
        </is>
      </c>
      <c r="C55" s="6" t="inlineStr">
        <is>
          <t>Weather: kinds of weather orchestrated by a weather state that sets the sky, cloud, fog, light and sound knobs; cheap tricks only, nothing volumetric</t>
        </is>
      </c>
      <c r="D55" s="6" t="inlineStr">
        <is>
          <t>Could</t>
        </is>
      </c>
      <c r="E55" s="6" t="inlineStr">
        <is>
          <t>Not started</t>
        </is>
      </c>
      <c r="F55" s="6" t="inlineStr">
        <is>
          <t>Later (owner, D58/D59). The cloud layers and jet stream are its first knobs. Design notes are a helper-agent task (PROJECT_NOTES 9)</t>
        </is>
      </c>
      <c r="G55" s="6" t="inlineStr">
        <is>
          <t>DESIGN Part XIII</t>
        </is>
      </c>
      <c r="H55" s="6" t="inlineStr">
        <is>
          <t>Owner</t>
        </is>
      </c>
    </row>
    <row r="56">
      <c r="A56" s="6" t="inlineStr">
        <is>
          <t>W055</t>
        </is>
      </c>
      <c r="B56" s="6" t="inlineStr">
        <is>
          <t>World</t>
        </is>
      </c>
      <c r="C56" s="6" t="inlineStr">
        <is>
          <t>Gentle slopes roll instead of terracing, with player edits kept crisp</t>
        </is>
      </c>
      <c r="D56" s="6" t="inlineStr">
        <is>
          <t>Won't</t>
        </is>
      </c>
      <c r="E56" s="6" t="inlineStr">
        <is>
          <t>Parked</t>
        </is>
      </c>
      <c r="F56" s="6" t="inlineStr">
        <is>
          <t>D62: back burner until a nicer way. FacetShape::terrace is built but off (it softens one-cell edits)</t>
        </is>
      </c>
      <c r="G56" s="6" t="inlineStr">
        <is>
          <t>DESIGN 23.1</t>
        </is>
      </c>
      <c r="H56" s="6" t="inlineStr">
        <is>
          <t>Owner</t>
        </is>
      </c>
    </row>
    <row r="57">
      <c r="A57" s="6" t="inlineStr">
        <is>
          <t>W056</t>
        </is>
      </c>
      <c r="B57" s="6" t="inlineStr">
        <is>
          <t>Looks</t>
        </is>
      </c>
      <c r="C57" s="6" t="inlineStr">
        <is>
          <t>Shadowed ground keeps its shape: fill light (brighter sky toward the sun, warm bounce from sunlit ground), shadow less blue</t>
        </is>
      </c>
      <c r="D57" s="6" t="inlineStr">
        <is>
          <t>Could</t>
        </is>
      </c>
      <c r="E57" s="6" t="inlineStr">
        <is>
          <t>Done</t>
        </is>
      </c>
      <c r="F57" s="6" t="inlineStr">
        <is>
          <t>D63; replaces what screen-space AO was faking, without the golf-ball dimples. Awaiting the owner's look in game</t>
        </is>
      </c>
      <c r="G57" s="6" t="inlineStr">
        <is>
          <t>DESIGN 4.9</t>
        </is>
      </c>
      <c r="H57" s="6" t="inlineStr">
        <is>
          <t>Owner</t>
        </is>
      </c>
    </row>
    <row r="58">
      <c r="A58" s="6" t="inlineStr">
        <is>
          <t>W057</t>
        </is>
      </c>
      <c r="B58" s="6" t="inlineStr">
        <is>
          <t>Platform</t>
        </is>
      </c>
      <c r="C58" s="6" t="inlineStr">
        <is>
          <t>F2 screenshots without a stall: the PNG is encoded on a job thread</t>
        </is>
      </c>
      <c r="D58" s="6" t="inlineStr">
        <is>
          <t>Could</t>
        </is>
      </c>
      <c r="E58" s="6" t="inlineStr">
        <is>
          <t>Done</t>
        </is>
      </c>
      <c r="F58" s="6" t="inlineStr">
        <is>
          <t>The owner's report showed 70-100 ms hitches from F2; now only the read-back runs on the frame. Toast when on disk</t>
        </is>
      </c>
      <c r="G58" s="6" t="inlineStr">
        <is>
          <t>DESIGN 7.2.1</t>
        </is>
      </c>
      <c r="H58" s="6" t="inlineStr">
        <is>
          <t>Owner</t>
        </is>
      </c>
    </row>
    <row r="59">
      <c r="A59" s="6" t="inlineStr">
        <is>
          <t>W058</t>
        </is>
      </c>
      <c r="B59" s="6" t="inlineStr">
        <is>
          <t>Looks</t>
        </is>
      </c>
      <c r="C59" s="6" t="inlineStr">
        <is>
          <t>Distant ground keeps its colour: narrower edge fade, no sun glow in the ground's fog</t>
        </is>
      </c>
      <c r="D59" s="6" t="inlineStr">
        <is>
          <t>Could</t>
        </is>
      </c>
      <c r="E59" s="6" t="inlineStr">
        <is>
          <t>Done</t>
        </is>
      </c>
      <c r="F59" s="6" t="inlineStr">
        <is>
          <t>D64. The real fix for seeing far is cheap distant ground (a far, coarse ring): a future plan</t>
        </is>
      </c>
      <c r="G59" s="6" t="inlineStr">
        <is>
          <t>DESIGN 4.9</t>
        </is>
      </c>
      <c r="H59" s="6" t="inlineStr">
        <is>
          <t>Owner</t>
        </is>
      </c>
    </row>
    <row r="60">
      <c r="A60" s="6" t="inlineStr">
        <is>
          <t>W059</t>
        </is>
      </c>
      <c r="B60" s="6" t="inlineStr">
        <is>
          <t>Sky</t>
        </is>
      </c>
      <c r="C60" s="6" t="inlineStr">
        <is>
          <t>Clouds that live: faster drift, shapes that form, stretch and break up downwind</t>
        </is>
      </c>
      <c r="D60" s="6" t="inlineStr">
        <is>
          <t>Could</t>
        </is>
      </c>
      <c r="E60" s="6" t="inlineStr">
        <is>
          <t>Planned</t>
        </is>
      </c>
      <c r="F60" s="6" t="inlineStr">
        <is>
          <t>PLAN_LOOK A; researched in docs/research/CLOUDS.md; real or compressed time is the owner's call</t>
        </is>
      </c>
      <c r="G60" s="6" t="inlineStr">
        <is>
          <t>DESIGN 4.9</t>
        </is>
      </c>
      <c r="H60" s="6" t="inlineStr">
        <is>
          <t>Claude (proposed)</t>
        </is>
      </c>
    </row>
    <row r="61">
      <c r="A61" s="6" t="inlineStr">
        <is>
          <t>W060</t>
        </is>
      </c>
      <c r="B61" s="6" t="inlineStr">
        <is>
          <t>Sky</t>
        </is>
      </c>
      <c r="C61" s="6" t="inlineStr">
        <is>
          <t>High streaks shorter and patchy, no ray-like convergence toward the sun</t>
        </is>
      </c>
      <c r="D61" s="6" t="inlineStr">
        <is>
          <t>Could</t>
        </is>
      </c>
      <c r="E61" s="6" t="inlineStr">
        <is>
          <t>Planned</t>
        </is>
      </c>
      <c r="F61" s="6" t="inlineStr">
        <is>
          <t>PLAN_LOOK B</t>
        </is>
      </c>
      <c r="G61" s="6" t="inlineStr">
        <is>
          <t>DESIGN 4.9</t>
        </is>
      </c>
      <c r="H61" s="6" t="inlineStr">
        <is>
          <t>Claude (proposed)</t>
        </is>
      </c>
    </row>
    <row r="62">
      <c r="A62" s="6" t="inlineStr">
        <is>
          <t>W061</t>
        </is>
      </c>
      <c r="B62" s="6" t="inlineStr">
        <is>
          <t>Sky</t>
        </is>
      </c>
      <c r="C62" s="6" t="inlineStr">
        <is>
          <t>Low clouds soft-edged and rim-lit, never flat puddles</t>
        </is>
      </c>
      <c r="D62" s="6" t="inlineStr">
        <is>
          <t>Could</t>
        </is>
      </c>
      <c r="E62" s="6" t="inlineStr">
        <is>
          <t>Planned</t>
        </is>
      </c>
      <c r="F62" s="6" t="inlineStr">
        <is>
          <t>PLAN_LOOK C</t>
        </is>
      </c>
      <c r="G62" s="6" t="inlineStr">
        <is>
          <t>DESIGN 4.9</t>
        </is>
      </c>
      <c r="H62" s="6" t="inlineStr">
        <is>
          <t>Claude (proposed)</t>
        </is>
      </c>
    </row>
    <row r="63">
      <c r="A63" s="6" t="inlineStr">
        <is>
          <t>W062</t>
        </is>
      </c>
      <c r="B63" s="6" t="inlineStr">
        <is>
          <t>Looks</t>
        </is>
      </c>
      <c r="C63" s="6" t="inlineStr">
        <is>
          <t>Clean material edges: a smooth noise-driven blend band, no thin streaks of one material in another</t>
        </is>
      </c>
      <c r="D63" s="6" t="inlineStr">
        <is>
          <t>Could</t>
        </is>
      </c>
      <c r="E63" s="6" t="inlineStr">
        <is>
          <t>Planned</t>
        </is>
      </c>
      <c r="F63" s="6" t="inlineStr">
        <is>
          <t>PLAN_LOOK D; the orange lines at the slate ridge</t>
        </is>
      </c>
      <c r="G63" s="6" t="inlineStr">
        <is>
          <t>DESIGN 23.4</t>
        </is>
      </c>
      <c r="H63" s="6" t="inlineStr">
        <is>
          <t>Claude (proposed)</t>
        </is>
      </c>
    </row>
    <row r="64">
      <c r="A64" s="6" t="inlineStr">
        <is>
          <t>W063</t>
        </is>
      </c>
      <c r="B64" s="6" t="inlineStr">
        <is>
          <t>Looks</t>
        </is>
      </c>
      <c r="C64" s="6" t="inlineStr">
        <is>
          <t>Textures without visible repetition: per-cell random shift and turn, and large-scale patches per material</t>
        </is>
      </c>
      <c r="D64" s="6" t="inlineStr">
        <is>
          <t>Could</t>
        </is>
      </c>
      <c r="E64" s="6" t="inlineStr">
        <is>
          <t>Planned</t>
        </is>
      </c>
      <c r="F64" s="6" t="inlineStr">
        <is>
          <t>PLAN_LOOK E</t>
        </is>
      </c>
      <c r="G64" s="6" t="inlineStr">
        <is>
          <t>DESIGN 4.16</t>
        </is>
      </c>
      <c r="H64" s="6" t="inlineStr">
        <is>
          <t>Claude (proposed)</t>
        </is>
      </c>
    </row>
    <row r="65">
      <c r="A65" s="6" t="inlineStr">
        <is>
          <t>W064</t>
        </is>
      </c>
      <c r="B65" s="6" t="inlineStr">
        <is>
          <t>Looks</t>
        </is>
      </c>
      <c r="C65" s="6" t="inlineStr">
        <is>
          <t>64-pixel material textures</t>
        </is>
      </c>
      <c r="D65" s="6" t="inlineStr">
        <is>
          <t>Could</t>
        </is>
      </c>
      <c r="E65" s="6" t="inlineStr">
        <is>
          <t>Planned</t>
        </is>
      </c>
      <c r="F65" s="6" t="inlineStr">
        <is>
          <t>PLAN_LOOK F; 64 pixels per block (D65)</t>
        </is>
      </c>
      <c r="G65" s="6" t="inlineStr">
        <is>
          <t>TEXTURE_BRIEF</t>
        </is>
      </c>
      <c r="H65" s="6" t="inlineStr">
        <is>
          <t>Owner</t>
        </is>
      </c>
    </row>
    <row r="66">
      <c r="A66" s="6" t="inlineStr">
        <is>
          <t>W065</t>
        </is>
      </c>
      <c r="B66" s="6" t="inlineStr">
        <is>
          <t>Tools</t>
        </is>
      </c>
      <c r="C66" s="6" t="inlineStr">
        <is>
          <t>Debug views: baked darkening only, shadows only, materials only</t>
        </is>
      </c>
      <c r="D66" s="6" t="inlineStr">
        <is>
          <t>Could</t>
        </is>
      </c>
      <c r="E66" s="6" t="inlineStr">
        <is>
          <t>Planned</t>
        </is>
      </c>
      <c r="F66" s="6" t="inlineStr">
        <is>
          <t>PLAN_LOOK G; to find the patches seen at noon</t>
        </is>
      </c>
      <c r="G66" s="6" t="inlineStr">
        <is>
          <t>DESIGN Part XVI</t>
        </is>
      </c>
      <c r="H66" s="6" t="inlineStr">
        <is>
          <t>Claude (proposed)</t>
        </is>
      </c>
    </row>
    <row r="67">
      <c r="A67" s="6" t="inlineStr">
        <is>
          <t>W066</t>
        </is>
      </c>
      <c r="B67" s="6" t="inlineStr">
        <is>
          <t>Looks</t>
        </is>
      </c>
      <c r="C67" s="6" t="inlineStr">
        <is>
          <t>Slate lighter and less saturated</t>
        </is>
      </c>
      <c r="D67" s="6" t="inlineStr">
        <is>
          <t>Could</t>
        </is>
      </c>
      <c r="E67" s="6" t="inlineStr">
        <is>
          <t>Planned</t>
        </is>
      </c>
      <c r="F67" s="6" t="inlineStr">
        <is>
          <t>PLAN_LOOK H</t>
        </is>
      </c>
      <c r="G67" s="6" t="inlineStr">
        <is>
          <t>TEXTURE_BRIEF</t>
        </is>
      </c>
      <c r="H67" s="6" t="inlineStr">
        <is>
          <t>Claude (proposed)</t>
        </is>
      </c>
    </row>
    <row r="68">
      <c r="A68" s="6" t="inlineStr">
        <is>
          <t>W067</t>
        </is>
      </c>
      <c r="B68" s="6" t="inlineStr">
        <is>
          <t>World</t>
        </is>
      </c>
      <c r="C68" s="6" t="inlineStr">
        <is>
          <t>A building layer: crisp placed blocks that sit on the faceted ground in a satisfying way</t>
        </is>
      </c>
      <c r="D68" s="6" t="inlineStr">
        <is>
          <t>Won't</t>
        </is>
      </c>
      <c r="E68" s="6" t="inlineStr">
        <is>
          <t>Parked</t>
        </is>
      </c>
      <c r="F68" s="6" t="inlineStr">
        <is>
          <t>Owner's idea, 2026-09-26; questions in PLAN_LOOK. The Voxistics cube mesher and pieces were removed in M1.9 (D41)</t>
        </is>
      </c>
      <c r="G68" s="6" t="inlineStr">
        <is>
          <t>DESIGN 4.15</t>
        </is>
      </c>
      <c r="H68" s="6" t="inlineStr">
        <is>
          <t>Owner</t>
        </is>
      </c>
    </row>
    <row r="69">
      <c r="A69" s="6" t="inlineStr">
        <is>
          <t>W068</t>
        </is>
      </c>
      <c r="B69" s="6" t="inlineStr">
        <is>
          <t>Text</t>
        </is>
      </c>
      <c r="C69" s="6" t="inlineStr">
        <is>
          <t>East Asian text: double-width glyph cells in the UI atlas and layout, for Chinese, Japanese and Korean</t>
        </is>
      </c>
      <c r="D69" s="6" t="inlineStr">
        <is>
          <t>Could</t>
        </is>
      </c>
      <c r="E69" s="6" t="inlineStr">
        <is>
          <t>Planned</t>
        </is>
      </c>
      <c r="F69" s="6" t="inlineStr">
        <is>
          <t>Owner: be inclusive of Asian and African languages. Translations T18-T21 (and Amharic, T33, if its script is wide) wait on it. Fonts per language via the font line</t>
        </is>
      </c>
      <c r="G69" s="6" t="inlineStr">
        <is>
          <t>DESIGN 4.6.2</t>
        </is>
      </c>
      <c r="H69" s="6" t="inlineStr">
        <is>
          <t>Owner</t>
        </is>
      </c>
    </row>
    <row r="70">
      <c r="A70" s="6" t="inlineStr">
        <is>
          <t>W069</t>
        </is>
      </c>
      <c r="B70" s="6" t="inlineStr">
        <is>
          <t>Text</t>
        </is>
      </c>
      <c r="C70" s="6" t="inlineStr">
        <is>
          <t>Scripts that need shaping or stacked marks (Devanagari, Thai, Arabic right-to-left, combining tone marks as in some Yoruba)</t>
        </is>
      </c>
      <c r="D70" s="6" t="inlineStr">
        <is>
          <t>Won't</t>
        </is>
      </c>
      <c r="E70" s="6" t="inlineStr">
        <is>
          <t>Parked</t>
        </is>
      </c>
      <c r="F70" s="6" t="inlineStr">
        <is>
          <t>A per-glyph atlas can't join, reorder or stack letters. If ever needed: let Windows shape whole strings (its text system does this for every script) and draw the result, rather than drawing our own glyphs (owner and Claude: our own bitmap letters would be reinventing the wheel, and fonts are the player's installed ones)</t>
        </is>
      </c>
      <c r="G70" s="6" t="inlineStr">
        <is>
          <t>DESIGN 4.6.2</t>
        </is>
      </c>
      <c r="H70" s="6" t="inlineStr">
        <is>
          <t>Claude (proposed)</t>
        </is>
      </c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</row>
    <row r="140">
      <c r="A140" s="6" t="n"/>
      <c r="B140" s="6" t="n"/>
      <c r="C140" s="6" t="n"/>
      <c r="D140" s="6" t="n"/>
      <c r="E140" s="6" t="n"/>
      <c r="F140" s="6" t="n"/>
      <c r="G140" s="6" t="n"/>
      <c r="H140" s="6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</row>
    <row r="142">
      <c r="A142" s="6" t="n"/>
      <c r="B142" s="6" t="n"/>
      <c r="C142" s="6" t="n"/>
      <c r="D142" s="6" t="n"/>
      <c r="E142" s="6" t="n"/>
      <c r="F142" s="6" t="n"/>
      <c r="G142" s="6" t="n"/>
      <c r="H142" s="6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</row>
    <row r="144">
      <c r="A144" s="6" t="n"/>
      <c r="B144" s="6" t="n"/>
      <c r="C144" s="6" t="n"/>
      <c r="D144" s="6" t="n"/>
      <c r="E144" s="6" t="n"/>
      <c r="F144" s="6" t="n"/>
      <c r="G144" s="6" t="n"/>
      <c r="H144" s="6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</row>
    <row r="146">
      <c r="A146" s="6" t="n"/>
      <c r="B146" s="6" t="n"/>
      <c r="C146" s="6" t="n"/>
      <c r="D146" s="6" t="n"/>
      <c r="E146" s="6" t="n"/>
      <c r="F146" s="6" t="n"/>
      <c r="G146" s="6" t="n"/>
      <c r="H146" s="6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</row>
    <row r="148">
      <c r="A148" s="6" t="n"/>
      <c r="B148" s="6" t="n"/>
      <c r="C148" s="6" t="n"/>
      <c r="D148" s="6" t="n"/>
      <c r="E148" s="6" t="n"/>
      <c r="F148" s="6" t="n"/>
      <c r="G148" s="6" t="n"/>
      <c r="H148" s="6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</row>
    <row r="150">
      <c r="A150" s="6" t="n"/>
      <c r="B150" s="6" t="n"/>
      <c r="C150" s="6" t="n"/>
      <c r="D150" s="6" t="n"/>
      <c r="E150" s="6" t="n"/>
      <c r="F150" s="6" t="n"/>
      <c r="G150" s="6" t="n"/>
      <c r="H150" s="6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</row>
    <row r="152">
      <c r="A152" s="6" t="n"/>
      <c r="B152" s="6" t="n"/>
      <c r="C152" s="6" t="n"/>
      <c r="D152" s="6" t="n"/>
      <c r="E152" s="6" t="n"/>
      <c r="F152" s="6" t="n"/>
      <c r="G152" s="6" t="n"/>
      <c r="H152" s="6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</row>
    <row r="154">
      <c r="A154" s="6" t="n"/>
      <c r="B154" s="6" t="n"/>
      <c r="C154" s="6" t="n"/>
      <c r="D154" s="6" t="n"/>
      <c r="E154" s="6" t="n"/>
      <c r="F154" s="6" t="n"/>
      <c r="G154" s="6" t="n"/>
      <c r="H154" s="6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</row>
    <row r="156">
      <c r="A156" s="6" t="n"/>
      <c r="B156" s="6" t="n"/>
      <c r="C156" s="6" t="n"/>
      <c r="D156" s="6" t="n"/>
      <c r="E156" s="6" t="n"/>
      <c r="F156" s="6" t="n"/>
      <c r="G156" s="6" t="n"/>
      <c r="H156" s="6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</row>
    <row r="158">
      <c r="A158" s="6" t="n"/>
      <c r="B158" s="6" t="n"/>
      <c r="C158" s="6" t="n"/>
      <c r="D158" s="6" t="n"/>
      <c r="E158" s="6" t="n"/>
      <c r="F158" s="6" t="n"/>
      <c r="G158" s="6" t="n"/>
      <c r="H158" s="6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</row>
    <row r="160">
      <c r="A160" s="6" t="n"/>
      <c r="B160" s="6" t="n"/>
      <c r="C160" s="6" t="n"/>
      <c r="D160" s="6" t="n"/>
      <c r="E160" s="6" t="n"/>
      <c r="F160" s="6" t="n"/>
      <c r="G160" s="6" t="n"/>
      <c r="H160" s="6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</row>
    <row r="162">
      <c r="A162" s="6" t="n"/>
      <c r="B162" s="6" t="n"/>
      <c r="C162" s="6" t="n"/>
      <c r="D162" s="6" t="n"/>
      <c r="E162" s="6" t="n"/>
      <c r="F162" s="6" t="n"/>
      <c r="G162" s="6" t="n"/>
      <c r="H162" s="6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</row>
    <row r="164">
      <c r="A164" s="6" t="n"/>
      <c r="B164" s="6" t="n"/>
      <c r="C164" s="6" t="n"/>
      <c r="D164" s="6" t="n"/>
      <c r="E164" s="6" t="n"/>
      <c r="F164" s="6" t="n"/>
      <c r="G164" s="6" t="n"/>
      <c r="H164" s="6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</row>
    <row r="166">
      <c r="A166" s="6" t="n"/>
      <c r="B166" s="6" t="n"/>
      <c r="C166" s="6" t="n"/>
      <c r="D166" s="6" t="n"/>
      <c r="E166" s="6" t="n"/>
      <c r="F166" s="6" t="n"/>
      <c r="G166" s="6" t="n"/>
      <c r="H166" s="6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</row>
    <row r="168">
      <c r="A168" s="6" t="n"/>
      <c r="B168" s="6" t="n"/>
      <c r="C168" s="6" t="n"/>
      <c r="D168" s="6" t="n"/>
      <c r="E168" s="6" t="n"/>
      <c r="F168" s="6" t="n"/>
      <c r="G168" s="6" t="n"/>
      <c r="H168" s="6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</row>
    <row r="170">
      <c r="A170" s="6" t="n"/>
      <c r="B170" s="6" t="n"/>
      <c r="C170" s="6" t="n"/>
      <c r="D170" s="6" t="n"/>
      <c r="E170" s="6" t="n"/>
      <c r="F170" s="6" t="n"/>
      <c r="G170" s="6" t="n"/>
      <c r="H170" s="6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</row>
    <row r="172">
      <c r="A172" s="6" t="n"/>
      <c r="B172" s="6" t="n"/>
      <c r="C172" s="6" t="n"/>
      <c r="D172" s="6" t="n"/>
      <c r="E172" s="6" t="n"/>
      <c r="F172" s="6" t="n"/>
      <c r="G172" s="6" t="n"/>
      <c r="H172" s="6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</row>
    <row r="174">
      <c r="A174" s="6" t="n"/>
      <c r="B174" s="6" t="n"/>
      <c r="C174" s="6" t="n"/>
      <c r="D174" s="6" t="n"/>
      <c r="E174" s="6" t="n"/>
      <c r="F174" s="6" t="n"/>
      <c r="G174" s="6" t="n"/>
      <c r="H174" s="6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</row>
    <row r="176">
      <c r="A176" s="6" t="n"/>
      <c r="B176" s="6" t="n"/>
      <c r="C176" s="6" t="n"/>
      <c r="D176" s="6" t="n"/>
      <c r="E176" s="6" t="n"/>
      <c r="F176" s="6" t="n"/>
      <c r="G176" s="6" t="n"/>
      <c r="H176" s="6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</row>
    <row r="178">
      <c r="A178" s="6" t="n"/>
      <c r="B178" s="6" t="n"/>
      <c r="C178" s="6" t="n"/>
      <c r="D178" s="6" t="n"/>
      <c r="E178" s="6" t="n"/>
      <c r="F178" s="6" t="n"/>
      <c r="G178" s="6" t="n"/>
      <c r="H178" s="6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</row>
    <row r="180">
      <c r="A180" s="6" t="n"/>
      <c r="B180" s="6" t="n"/>
      <c r="C180" s="6" t="n"/>
      <c r="D180" s="6" t="n"/>
      <c r="E180" s="6" t="n"/>
      <c r="F180" s="6" t="n"/>
      <c r="G180" s="6" t="n"/>
      <c r="H180" s="6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</row>
    <row r="182">
      <c r="A182" s="6" t="n"/>
      <c r="B182" s="6" t="n"/>
      <c r="C182" s="6" t="n"/>
      <c r="D182" s="6" t="n"/>
      <c r="E182" s="6" t="n"/>
      <c r="F182" s="6" t="n"/>
      <c r="G182" s="6" t="n"/>
      <c r="H182" s="6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</row>
    <row r="184">
      <c r="A184" s="6" t="n"/>
      <c r="B184" s="6" t="n"/>
      <c r="C184" s="6" t="n"/>
      <c r="D184" s="6" t="n"/>
      <c r="E184" s="6" t="n"/>
      <c r="F184" s="6" t="n"/>
      <c r="G184" s="6" t="n"/>
      <c r="H184" s="6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</row>
    <row r="186">
      <c r="A186" s="6" t="n"/>
      <c r="B186" s="6" t="n"/>
      <c r="C186" s="6" t="n"/>
      <c r="D186" s="6" t="n"/>
      <c r="E186" s="6" t="n"/>
      <c r="F186" s="6" t="n"/>
      <c r="G186" s="6" t="n"/>
      <c r="H186" s="6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</row>
    <row r="188">
      <c r="A188" s="6" t="n"/>
      <c r="B188" s="6" t="n"/>
      <c r="C188" s="6" t="n"/>
      <c r="D188" s="6" t="n"/>
      <c r="E188" s="6" t="n"/>
      <c r="F188" s="6" t="n"/>
      <c r="G188" s="6" t="n"/>
      <c r="H188" s="6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</row>
    <row r="190">
      <c r="A190" s="6" t="n"/>
      <c r="B190" s="6" t="n"/>
      <c r="C190" s="6" t="n"/>
      <c r="D190" s="6" t="n"/>
      <c r="E190" s="6" t="n"/>
      <c r="F190" s="6" t="n"/>
      <c r="G190" s="6" t="n"/>
      <c r="H190" s="6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</row>
    <row r="192">
      <c r="A192" s="6" t="n"/>
      <c r="B192" s="6" t="n"/>
      <c r="C192" s="6" t="n"/>
      <c r="D192" s="6" t="n"/>
      <c r="E192" s="6" t="n"/>
      <c r="F192" s="6" t="n"/>
      <c r="G192" s="6" t="n"/>
      <c r="H192" s="6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</row>
    <row r="194">
      <c r="A194" s="6" t="n"/>
      <c r="B194" s="6" t="n"/>
      <c r="C194" s="6" t="n"/>
      <c r="D194" s="6" t="n"/>
      <c r="E194" s="6" t="n"/>
      <c r="F194" s="6" t="n"/>
      <c r="G194" s="6" t="n"/>
      <c r="H194" s="6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</row>
    <row r="196">
      <c r="A196" s="6" t="n"/>
      <c r="B196" s="6" t="n"/>
      <c r="C196" s="6" t="n"/>
      <c r="D196" s="6" t="n"/>
      <c r="E196" s="6" t="n"/>
      <c r="F196" s="6" t="n"/>
      <c r="G196" s="6" t="n"/>
      <c r="H196" s="6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</row>
    <row r="198">
      <c r="A198" s="6" t="n"/>
      <c r="B198" s="6" t="n"/>
      <c r="C198" s="6" t="n"/>
      <c r="D198" s="6" t="n"/>
      <c r="E198" s="6" t="n"/>
      <c r="F198" s="6" t="n"/>
      <c r="G198" s="6" t="n"/>
      <c r="H198" s="6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</row>
    <row r="200">
      <c r="A200" s="6" t="n"/>
      <c r="B200" s="6" t="n"/>
      <c r="C200" s="6" t="n"/>
      <c r="D200" s="6" t="n"/>
      <c r="E200" s="6" t="n"/>
      <c r="F200" s="6" t="n"/>
      <c r="G200" s="6" t="n"/>
      <c r="H200" s="6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</row>
    <row r="202">
      <c r="A202" s="6" t="n"/>
      <c r="B202" s="6" t="n"/>
      <c r="C202" s="6" t="n"/>
      <c r="D202" s="6" t="n"/>
      <c r="E202" s="6" t="n"/>
      <c r="F202" s="6" t="n"/>
      <c r="G202" s="6" t="n"/>
      <c r="H202" s="6" t="n"/>
    </row>
    <row r="203">
      <c r="A203" s="6" t="n"/>
      <c r="B203" s="6" t="n"/>
      <c r="C203" s="6" t="n"/>
      <c r="D203" s="6" t="n"/>
      <c r="E203" s="6" t="n"/>
      <c r="F203" s="6" t="n"/>
      <c r="G203" s="6" t="n"/>
      <c r="H203" s="6" t="n"/>
    </row>
    <row r="204">
      <c r="A204" s="6" t="n"/>
      <c r="B204" s="6" t="n"/>
      <c r="C204" s="6" t="n"/>
      <c r="D204" s="6" t="n"/>
      <c r="E204" s="6" t="n"/>
      <c r="F204" s="6" t="n"/>
      <c r="G204" s="6" t="n"/>
      <c r="H204" s="6" t="n"/>
    </row>
    <row r="205">
      <c r="A205" s="6" t="n"/>
      <c r="B205" s="6" t="n"/>
      <c r="C205" s="6" t="n"/>
      <c r="D205" s="6" t="n"/>
      <c r="E205" s="6" t="n"/>
      <c r="F205" s="6" t="n"/>
      <c r="G205" s="6" t="n"/>
      <c r="H205" s="6" t="n"/>
    </row>
    <row r="206">
      <c r="A206" s="6" t="n"/>
      <c r="B206" s="6" t="n"/>
      <c r="C206" s="6" t="n"/>
      <c r="D206" s="6" t="n"/>
      <c r="E206" s="6" t="n"/>
      <c r="F206" s="6" t="n"/>
      <c r="G206" s="6" t="n"/>
      <c r="H206" s="6" t="n"/>
    </row>
    <row r="207">
      <c r="A207" s="6" t="n"/>
      <c r="B207" s="6" t="n"/>
      <c r="C207" s="6" t="n"/>
      <c r="D207" s="6" t="n"/>
      <c r="E207" s="6" t="n"/>
      <c r="F207" s="6" t="n"/>
      <c r="G207" s="6" t="n"/>
      <c r="H207" s="6" t="n"/>
    </row>
    <row r="208">
      <c r="A208" s="6" t="n"/>
      <c r="B208" s="6" t="n"/>
      <c r="C208" s="6" t="n"/>
      <c r="D208" s="6" t="n"/>
      <c r="E208" s="6" t="n"/>
      <c r="F208" s="6" t="n"/>
      <c r="G208" s="6" t="n"/>
      <c r="H208" s="6" t="n"/>
    </row>
    <row r="209">
      <c r="A209" s="6" t="n"/>
      <c r="B209" s="6" t="n"/>
      <c r="C209" s="6" t="n"/>
      <c r="D209" s="6" t="n"/>
      <c r="E209" s="6" t="n"/>
      <c r="F209" s="6" t="n"/>
      <c r="G209" s="6" t="n"/>
      <c r="H209" s="6" t="n"/>
    </row>
    <row r="210">
      <c r="A210" s="6" t="n"/>
      <c r="B210" s="6" t="n"/>
      <c r="C210" s="6" t="n"/>
      <c r="D210" s="6" t="n"/>
      <c r="E210" s="6" t="n"/>
      <c r="F210" s="6" t="n"/>
      <c r="G210" s="6" t="n"/>
      <c r="H210" s="6" t="n"/>
    </row>
    <row r="211">
      <c r="A211" s="6" t="n"/>
      <c r="B211" s="6" t="n"/>
      <c r="C211" s="6" t="n"/>
      <c r="D211" s="6" t="n"/>
      <c r="E211" s="6" t="n"/>
      <c r="F211" s="6" t="n"/>
      <c r="G211" s="6" t="n"/>
      <c r="H211" s="6" t="n"/>
    </row>
    <row r="212">
      <c r="A212" s="6" t="n"/>
      <c r="B212" s="6" t="n"/>
      <c r="C212" s="6" t="n"/>
      <c r="D212" s="6" t="n"/>
      <c r="E212" s="6" t="n"/>
      <c r="F212" s="6" t="n"/>
      <c r="G212" s="6" t="n"/>
      <c r="H212" s="6" t="n"/>
    </row>
    <row r="213">
      <c r="A213" s="6" t="n"/>
      <c r="B213" s="6" t="n"/>
      <c r="C213" s="6" t="n"/>
      <c r="D213" s="6" t="n"/>
      <c r="E213" s="6" t="n"/>
      <c r="F213" s="6" t="n"/>
      <c r="G213" s="6" t="n"/>
      <c r="H213" s="6" t="n"/>
    </row>
    <row r="214">
      <c r="A214" s="6" t="n"/>
      <c r="B214" s="6" t="n"/>
      <c r="C214" s="6" t="n"/>
      <c r="D214" s="6" t="n"/>
      <c r="E214" s="6" t="n"/>
      <c r="F214" s="6" t="n"/>
      <c r="G214" s="6" t="n"/>
      <c r="H214" s="6" t="n"/>
    </row>
    <row r="215">
      <c r="A215" s="6" t="n"/>
      <c r="B215" s="6" t="n"/>
      <c r="C215" s="6" t="n"/>
      <c r="D215" s="6" t="n"/>
      <c r="E215" s="6" t="n"/>
      <c r="F215" s="6" t="n"/>
      <c r="G215" s="6" t="n"/>
      <c r="H215" s="6" t="n"/>
    </row>
    <row r="216">
      <c r="A216" s="6" t="n"/>
      <c r="B216" s="6" t="n"/>
      <c r="C216" s="6" t="n"/>
      <c r="D216" s="6" t="n"/>
      <c r="E216" s="6" t="n"/>
      <c r="F216" s="6" t="n"/>
      <c r="G216" s="6" t="n"/>
      <c r="H216" s="6" t="n"/>
    </row>
    <row r="217">
      <c r="A217" s="6" t="n"/>
      <c r="B217" s="6" t="n"/>
      <c r="C217" s="6" t="n"/>
      <c r="D217" s="6" t="n"/>
      <c r="E217" s="6" t="n"/>
      <c r="F217" s="6" t="n"/>
      <c r="G217" s="6" t="n"/>
      <c r="H217" s="6" t="n"/>
    </row>
    <row r="218">
      <c r="A218" s="6" t="n"/>
      <c r="B218" s="6" t="n"/>
      <c r="C218" s="6" t="n"/>
      <c r="D218" s="6" t="n"/>
      <c r="E218" s="6" t="n"/>
      <c r="F218" s="6" t="n"/>
      <c r="G218" s="6" t="n"/>
      <c r="H218" s="6" t="n"/>
    </row>
    <row r="219">
      <c r="A219" s="6" t="n"/>
      <c r="B219" s="6" t="n"/>
      <c r="C219" s="6" t="n"/>
      <c r="D219" s="6" t="n"/>
      <c r="E219" s="6" t="n"/>
      <c r="F219" s="6" t="n"/>
      <c r="G219" s="6" t="n"/>
      <c r="H219" s="6" t="n"/>
    </row>
    <row r="220">
      <c r="A220" s="6" t="n"/>
      <c r="B220" s="6" t="n"/>
      <c r="C220" s="6" t="n"/>
      <c r="D220" s="6" t="n"/>
      <c r="E220" s="6" t="n"/>
      <c r="F220" s="6" t="n"/>
      <c r="G220" s="6" t="n"/>
      <c r="H220" s="6" t="n"/>
    </row>
    <row r="221">
      <c r="A221" s="6" t="n"/>
      <c r="B221" s="6" t="n"/>
      <c r="C221" s="6" t="n"/>
      <c r="D221" s="6" t="n"/>
      <c r="E221" s="6" t="n"/>
      <c r="F221" s="6" t="n"/>
      <c r="G221" s="6" t="n"/>
      <c r="H221" s="6" t="n"/>
    </row>
    <row r="222">
      <c r="A222" s="6" t="n"/>
      <c r="B222" s="6" t="n"/>
      <c r="C222" s="6" t="n"/>
      <c r="D222" s="6" t="n"/>
      <c r="E222" s="6" t="n"/>
      <c r="F222" s="6" t="n"/>
      <c r="G222" s="6" t="n"/>
      <c r="H222" s="6" t="n"/>
    </row>
    <row r="223">
      <c r="A223" s="6" t="n"/>
      <c r="B223" s="6" t="n"/>
      <c r="C223" s="6" t="n"/>
      <c r="D223" s="6" t="n"/>
      <c r="E223" s="6" t="n"/>
      <c r="F223" s="6" t="n"/>
      <c r="G223" s="6" t="n"/>
      <c r="H223" s="6" t="n"/>
    </row>
    <row r="224">
      <c r="A224" s="6" t="n"/>
      <c r="B224" s="6" t="n"/>
      <c r="C224" s="6" t="n"/>
      <c r="D224" s="6" t="n"/>
      <c r="E224" s="6" t="n"/>
      <c r="F224" s="6" t="n"/>
      <c r="G224" s="6" t="n"/>
      <c r="H224" s="6" t="n"/>
    </row>
    <row r="225">
      <c r="A225" s="6" t="n"/>
      <c r="B225" s="6" t="n"/>
      <c r="C225" s="6" t="n"/>
      <c r="D225" s="6" t="n"/>
      <c r="E225" s="6" t="n"/>
      <c r="F225" s="6" t="n"/>
      <c r="G225" s="6" t="n"/>
      <c r="H225" s="6" t="n"/>
    </row>
    <row r="226">
      <c r="A226" s="6" t="n"/>
      <c r="B226" s="6" t="n"/>
      <c r="C226" s="6" t="n"/>
      <c r="D226" s="6" t="n"/>
      <c r="E226" s="6" t="n"/>
      <c r="F226" s="6" t="n"/>
      <c r="G226" s="6" t="n"/>
      <c r="H226" s="6" t="n"/>
    </row>
    <row r="227">
      <c r="A227" s="6" t="n"/>
      <c r="B227" s="6" t="n"/>
      <c r="C227" s="6" t="n"/>
      <c r="D227" s="6" t="n"/>
      <c r="E227" s="6" t="n"/>
      <c r="F227" s="6" t="n"/>
      <c r="G227" s="6" t="n"/>
      <c r="H227" s="6" t="n"/>
    </row>
    <row r="228">
      <c r="A228" s="6" t="n"/>
      <c r="B228" s="6" t="n"/>
      <c r="C228" s="6" t="n"/>
      <c r="D228" s="6" t="n"/>
      <c r="E228" s="6" t="n"/>
      <c r="F228" s="6" t="n"/>
      <c r="G228" s="6" t="n"/>
      <c r="H228" s="6" t="n"/>
    </row>
    <row r="229">
      <c r="A229" s="6" t="n"/>
      <c r="B229" s="6" t="n"/>
      <c r="C229" s="6" t="n"/>
      <c r="D229" s="6" t="n"/>
      <c r="E229" s="6" t="n"/>
      <c r="F229" s="6" t="n"/>
      <c r="G229" s="6" t="n"/>
      <c r="H229" s="6" t="n"/>
    </row>
    <row r="230">
      <c r="A230" s="6" t="n"/>
      <c r="B230" s="6" t="n"/>
      <c r="C230" s="6" t="n"/>
      <c r="D230" s="6" t="n"/>
      <c r="E230" s="6" t="n"/>
      <c r="F230" s="6" t="n"/>
      <c r="G230" s="6" t="n"/>
      <c r="H230" s="6" t="n"/>
    </row>
    <row r="231">
      <c r="A231" s="6" t="n"/>
      <c r="B231" s="6" t="n"/>
      <c r="C231" s="6" t="n"/>
      <c r="D231" s="6" t="n"/>
      <c r="E231" s="6" t="n"/>
      <c r="F231" s="6" t="n"/>
      <c r="G231" s="6" t="n"/>
      <c r="H231" s="6" t="n"/>
    </row>
    <row r="232">
      <c r="A232" s="6" t="n"/>
      <c r="B232" s="6" t="n"/>
      <c r="C232" s="6" t="n"/>
      <c r="D232" s="6" t="n"/>
      <c r="E232" s="6" t="n"/>
      <c r="F232" s="6" t="n"/>
      <c r="G232" s="6" t="n"/>
      <c r="H232" s="6" t="n"/>
    </row>
    <row r="233">
      <c r="A233" s="6" t="n"/>
      <c r="B233" s="6" t="n"/>
      <c r="C233" s="6" t="n"/>
      <c r="D233" s="6" t="n"/>
      <c r="E233" s="6" t="n"/>
      <c r="F233" s="6" t="n"/>
      <c r="G233" s="6" t="n"/>
      <c r="H233" s="6" t="n"/>
    </row>
    <row r="234">
      <c r="A234" s="6" t="n"/>
      <c r="B234" s="6" t="n"/>
      <c r="C234" s="6" t="n"/>
      <c r="D234" s="6" t="n"/>
      <c r="E234" s="6" t="n"/>
      <c r="F234" s="6" t="n"/>
      <c r="G234" s="6" t="n"/>
      <c r="H234" s="6" t="n"/>
    </row>
    <row r="235">
      <c r="A235" s="6" t="n"/>
      <c r="B235" s="6" t="n"/>
      <c r="C235" s="6" t="n"/>
      <c r="D235" s="6" t="n"/>
      <c r="E235" s="6" t="n"/>
      <c r="F235" s="6" t="n"/>
      <c r="G235" s="6" t="n"/>
      <c r="H235" s="6" t="n"/>
    </row>
    <row r="236">
      <c r="A236" s="6" t="n"/>
      <c r="B236" s="6" t="n"/>
      <c r="C236" s="6" t="n"/>
      <c r="D236" s="6" t="n"/>
      <c r="E236" s="6" t="n"/>
      <c r="F236" s="6" t="n"/>
      <c r="G236" s="6" t="n"/>
      <c r="H236" s="6" t="n"/>
    </row>
    <row r="237">
      <c r="A237" s="6" t="n"/>
      <c r="B237" s="6" t="n"/>
      <c r="C237" s="6" t="n"/>
      <c r="D237" s="6" t="n"/>
      <c r="E237" s="6" t="n"/>
      <c r="F237" s="6" t="n"/>
      <c r="G237" s="6" t="n"/>
      <c r="H237" s="6" t="n"/>
    </row>
    <row r="238">
      <c r="A238" s="6" t="n"/>
      <c r="B238" s="6" t="n"/>
      <c r="C238" s="6" t="n"/>
      <c r="D238" s="6" t="n"/>
      <c r="E238" s="6" t="n"/>
      <c r="F238" s="6" t="n"/>
      <c r="G238" s="6" t="n"/>
      <c r="H238" s="6" t="n"/>
    </row>
    <row r="239">
      <c r="A239" s="6" t="n"/>
      <c r="B239" s="6" t="n"/>
      <c r="C239" s="6" t="n"/>
      <c r="D239" s="6" t="n"/>
      <c r="E239" s="6" t="n"/>
      <c r="F239" s="6" t="n"/>
      <c r="G239" s="6" t="n"/>
      <c r="H239" s="6" t="n"/>
    </row>
    <row r="240">
      <c r="A240" s="6" t="n"/>
      <c r="B240" s="6" t="n"/>
      <c r="C240" s="6" t="n"/>
      <c r="D240" s="6" t="n"/>
      <c r="E240" s="6" t="n"/>
      <c r="F240" s="6" t="n"/>
      <c r="G240" s="6" t="n"/>
      <c r="H240" s="6" t="n"/>
    </row>
    <row r="241">
      <c r="A241" s="6" t="n"/>
      <c r="B241" s="6" t="n"/>
      <c r="C241" s="6" t="n"/>
      <c r="D241" s="6" t="n"/>
      <c r="E241" s="6" t="n"/>
      <c r="F241" s="6" t="n"/>
      <c r="G241" s="6" t="n"/>
      <c r="H241" s="6" t="n"/>
    </row>
    <row r="242">
      <c r="A242" s="6" t="n"/>
      <c r="B242" s="6" t="n"/>
      <c r="C242" s="6" t="n"/>
      <c r="D242" s="6" t="n"/>
      <c r="E242" s="6" t="n"/>
      <c r="F242" s="6" t="n"/>
      <c r="G242" s="6" t="n"/>
      <c r="H242" s="6" t="n"/>
    </row>
    <row r="243">
      <c r="A243" s="6" t="n"/>
      <c r="B243" s="6" t="n"/>
      <c r="C243" s="6" t="n"/>
      <c r="D243" s="6" t="n"/>
      <c r="E243" s="6" t="n"/>
      <c r="F243" s="6" t="n"/>
      <c r="G243" s="6" t="n"/>
      <c r="H243" s="6" t="n"/>
    </row>
    <row r="244">
      <c r="A244" s="6" t="n"/>
      <c r="B244" s="6" t="n"/>
      <c r="C244" s="6" t="n"/>
      <c r="D244" s="6" t="n"/>
      <c r="E244" s="6" t="n"/>
      <c r="F244" s="6" t="n"/>
      <c r="G244" s="6" t="n"/>
      <c r="H244" s="6" t="n"/>
    </row>
    <row r="245">
      <c r="A245" s="6" t="n"/>
      <c r="B245" s="6" t="n"/>
      <c r="C245" s="6" t="n"/>
      <c r="D245" s="6" t="n"/>
      <c r="E245" s="6" t="n"/>
      <c r="F245" s="6" t="n"/>
      <c r="G245" s="6" t="n"/>
      <c r="H245" s="6" t="n"/>
    </row>
    <row r="246">
      <c r="A246" s="6" t="n"/>
      <c r="B246" s="6" t="n"/>
      <c r="C246" s="6" t="n"/>
      <c r="D246" s="6" t="n"/>
      <c r="E246" s="6" t="n"/>
      <c r="F246" s="6" t="n"/>
      <c r="G246" s="6" t="n"/>
      <c r="H246" s="6" t="n"/>
    </row>
    <row r="247">
      <c r="A247" s="6" t="n"/>
      <c r="B247" s="6" t="n"/>
      <c r="C247" s="6" t="n"/>
      <c r="D247" s="6" t="n"/>
      <c r="E247" s="6" t="n"/>
      <c r="F247" s="6" t="n"/>
      <c r="G247" s="6" t="n"/>
      <c r="H247" s="6" t="n"/>
    </row>
    <row r="248">
      <c r="A248" s="6" t="n"/>
      <c r="B248" s="6" t="n"/>
      <c r="C248" s="6" t="n"/>
      <c r="D248" s="6" t="n"/>
      <c r="E248" s="6" t="n"/>
      <c r="F248" s="6" t="n"/>
      <c r="G248" s="6" t="n"/>
      <c r="H248" s="6" t="n"/>
    </row>
    <row r="249">
      <c r="A249" s="6" t="n"/>
      <c r="B249" s="6" t="n"/>
      <c r="C249" s="6" t="n"/>
      <c r="D249" s="6" t="n"/>
      <c r="E249" s="6" t="n"/>
      <c r="F249" s="6" t="n"/>
      <c r="G249" s="6" t="n"/>
      <c r="H249" s="6" t="n"/>
    </row>
    <row r="250">
      <c r="A250" s="6" t="n"/>
      <c r="B250" s="6" t="n"/>
      <c r="C250" s="6" t="n"/>
      <c r="D250" s="6" t="n"/>
      <c r="E250" s="6" t="n"/>
      <c r="F250" s="6" t="n"/>
      <c r="G250" s="6" t="n"/>
      <c r="H250" s="6" t="n"/>
    </row>
    <row r="251">
      <c r="A251" s="6" t="n"/>
      <c r="B251" s="6" t="n"/>
      <c r="C251" s="6" t="n"/>
      <c r="D251" s="6" t="n"/>
      <c r="E251" s="6" t="n"/>
      <c r="F251" s="6" t="n"/>
      <c r="G251" s="6" t="n"/>
      <c r="H251" s="6" t="n"/>
    </row>
    <row r="252">
      <c r="A252" s="6" t="n"/>
      <c r="B252" s="6" t="n"/>
      <c r="C252" s="6" t="n"/>
      <c r="D252" s="6" t="n"/>
      <c r="E252" s="6" t="n"/>
      <c r="F252" s="6" t="n"/>
      <c r="G252" s="6" t="n"/>
      <c r="H252" s="6" t="n"/>
    </row>
    <row r="253">
      <c r="A253" s="6" t="n"/>
      <c r="B253" s="6" t="n"/>
      <c r="C253" s="6" t="n"/>
      <c r="D253" s="6" t="n"/>
      <c r="E253" s="6" t="n"/>
      <c r="F253" s="6" t="n"/>
      <c r="G253" s="6" t="n"/>
      <c r="H253" s="6" t="n"/>
    </row>
    <row r="254">
      <c r="A254" s="6" t="n"/>
      <c r="B254" s="6" t="n"/>
      <c r="C254" s="6" t="n"/>
      <c r="D254" s="6" t="n"/>
      <c r="E254" s="6" t="n"/>
      <c r="F254" s="6" t="n"/>
      <c r="G254" s="6" t="n"/>
      <c r="H254" s="6" t="n"/>
    </row>
    <row r="255">
      <c r="A255" s="6" t="n"/>
      <c r="B255" s="6" t="n"/>
      <c r="C255" s="6" t="n"/>
      <c r="D255" s="6" t="n"/>
      <c r="E255" s="6" t="n"/>
      <c r="F255" s="6" t="n"/>
      <c r="G255" s="6" t="n"/>
      <c r="H255" s="6" t="n"/>
    </row>
    <row r="256">
      <c r="A256" s="6" t="n"/>
      <c r="B256" s="6" t="n"/>
      <c r="C256" s="6" t="n"/>
      <c r="D256" s="6" t="n"/>
      <c r="E256" s="6" t="n"/>
      <c r="F256" s="6" t="n"/>
      <c r="G256" s="6" t="n"/>
      <c r="H256" s="6" t="n"/>
    </row>
    <row r="257">
      <c r="A257" s="6" t="n"/>
      <c r="B257" s="6" t="n"/>
      <c r="C257" s="6" t="n"/>
      <c r="D257" s="6" t="n"/>
      <c r="E257" s="6" t="n"/>
      <c r="F257" s="6" t="n"/>
      <c r="G257" s="6" t="n"/>
      <c r="H257" s="6" t="n"/>
    </row>
    <row r="258">
      <c r="A258" s="6" t="n"/>
      <c r="B258" s="6" t="n"/>
      <c r="C258" s="6" t="n"/>
      <c r="D258" s="6" t="n"/>
      <c r="E258" s="6" t="n"/>
      <c r="F258" s="6" t="n"/>
      <c r="G258" s="6" t="n"/>
      <c r="H258" s="6" t="n"/>
    </row>
    <row r="259">
      <c r="A259" s="6" t="n"/>
      <c r="B259" s="6" t="n"/>
      <c r="C259" s="6" t="n"/>
      <c r="D259" s="6" t="n"/>
      <c r="E259" s="6" t="n"/>
      <c r="F259" s="6" t="n"/>
      <c r="G259" s="6" t="n"/>
      <c r="H259" s="6" t="n"/>
    </row>
    <row r="260">
      <c r="A260" s="6" t="n"/>
      <c r="B260" s="6" t="n"/>
      <c r="C260" s="6" t="n"/>
      <c r="D260" s="6" t="n"/>
      <c r="E260" s="6" t="n"/>
      <c r="F260" s="6" t="n"/>
      <c r="G260" s="6" t="n"/>
      <c r="H260" s="6" t="n"/>
    </row>
    <row r="261">
      <c r="A261" s="6" t="n"/>
      <c r="B261" s="6" t="n"/>
      <c r="C261" s="6" t="n"/>
      <c r="D261" s="6" t="n"/>
      <c r="E261" s="6" t="n"/>
      <c r="F261" s="6" t="n"/>
      <c r="G261" s="6" t="n"/>
      <c r="H261" s="6" t="n"/>
    </row>
    <row r="262">
      <c r="A262" s="6" t="n"/>
      <c r="B262" s="6" t="n"/>
      <c r="C262" s="6" t="n"/>
      <c r="D262" s="6" t="n"/>
      <c r="E262" s="6" t="n"/>
      <c r="F262" s="6" t="n"/>
      <c r="G262" s="6" t="n"/>
      <c r="H262" s="6" t="n"/>
    </row>
    <row r="263">
      <c r="A263" s="6" t="n"/>
      <c r="B263" s="6" t="n"/>
      <c r="C263" s="6" t="n"/>
      <c r="D263" s="6" t="n"/>
      <c r="E263" s="6" t="n"/>
      <c r="F263" s="6" t="n"/>
      <c r="G263" s="6" t="n"/>
      <c r="H263" s="6" t="n"/>
    </row>
    <row r="264">
      <c r="A264" s="6" t="n"/>
      <c r="B264" s="6" t="n"/>
      <c r="C264" s="6" t="n"/>
      <c r="D264" s="6" t="n"/>
      <c r="E264" s="6" t="n"/>
      <c r="F264" s="6" t="n"/>
      <c r="G264" s="6" t="n"/>
      <c r="H264" s="6" t="n"/>
    </row>
    <row r="265">
      <c r="A265" s="6" t="n"/>
      <c r="B265" s="6" t="n"/>
      <c r="C265" s="6" t="n"/>
      <c r="D265" s="6" t="n"/>
      <c r="E265" s="6" t="n"/>
      <c r="F265" s="6" t="n"/>
      <c r="G265" s="6" t="n"/>
      <c r="H265" s="6" t="n"/>
    </row>
    <row r="266">
      <c r="A266" s="6" t="n"/>
      <c r="B266" s="6" t="n"/>
      <c r="C266" s="6" t="n"/>
      <c r="D266" s="6" t="n"/>
      <c r="E266" s="6" t="n"/>
      <c r="F266" s="6" t="n"/>
      <c r="G266" s="6" t="n"/>
      <c r="H266" s="6" t="n"/>
    </row>
    <row r="267">
      <c r="A267" s="6" t="n"/>
      <c r="B267" s="6" t="n"/>
      <c r="C267" s="6" t="n"/>
      <c r="D267" s="6" t="n"/>
      <c r="E267" s="6" t="n"/>
      <c r="F267" s="6" t="n"/>
      <c r="G267" s="6" t="n"/>
      <c r="H267" s="6" t="n"/>
    </row>
    <row r="268">
      <c r="A268" s="6" t="n"/>
      <c r="B268" s="6" t="n"/>
      <c r="C268" s="6" t="n"/>
      <c r="D268" s="6" t="n"/>
      <c r="E268" s="6" t="n"/>
      <c r="F268" s="6" t="n"/>
      <c r="G268" s="6" t="n"/>
      <c r="H268" s="6" t="n"/>
    </row>
    <row r="269">
      <c r="A269" s="6" t="n"/>
      <c r="B269" s="6" t="n"/>
      <c r="C269" s="6" t="n"/>
      <c r="D269" s="6" t="n"/>
      <c r="E269" s="6" t="n"/>
      <c r="F269" s="6" t="n"/>
      <c r="G269" s="6" t="n"/>
      <c r="H269" s="6" t="n"/>
    </row>
    <row r="270">
      <c r="A270" s="6" t="n"/>
      <c r="B270" s="6" t="n"/>
      <c r="C270" s="6" t="n"/>
      <c r="D270" s="6" t="n"/>
      <c r="E270" s="6" t="n"/>
      <c r="F270" s="6" t="n"/>
      <c r="G270" s="6" t="n"/>
      <c r="H270" s="6" t="n"/>
    </row>
    <row r="271">
      <c r="A271" s="6" t="n"/>
      <c r="B271" s="6" t="n"/>
      <c r="C271" s="6" t="n"/>
      <c r="D271" s="6" t="n"/>
      <c r="E271" s="6" t="n"/>
      <c r="F271" s="6" t="n"/>
      <c r="G271" s="6" t="n"/>
      <c r="H271" s="6" t="n"/>
    </row>
    <row r="272">
      <c r="A272" s="6" t="n"/>
      <c r="B272" s="6" t="n"/>
      <c r="C272" s="6" t="n"/>
      <c r="D272" s="6" t="n"/>
      <c r="E272" s="6" t="n"/>
      <c r="F272" s="6" t="n"/>
      <c r="G272" s="6" t="n"/>
      <c r="H272" s="6" t="n"/>
    </row>
    <row r="273">
      <c r="A273" s="6" t="n"/>
      <c r="B273" s="6" t="n"/>
      <c r="C273" s="6" t="n"/>
      <c r="D273" s="6" t="n"/>
      <c r="E273" s="6" t="n"/>
      <c r="F273" s="6" t="n"/>
      <c r="G273" s="6" t="n"/>
      <c r="H273" s="6" t="n"/>
    </row>
    <row r="274">
      <c r="A274" s="6" t="n"/>
      <c r="B274" s="6" t="n"/>
      <c r="C274" s="6" t="n"/>
      <c r="D274" s="6" t="n"/>
      <c r="E274" s="6" t="n"/>
      <c r="F274" s="6" t="n"/>
      <c r="G274" s="6" t="n"/>
      <c r="H274" s="6" t="n"/>
    </row>
    <row r="275">
      <c r="A275" s="6" t="n"/>
      <c r="B275" s="6" t="n"/>
      <c r="C275" s="6" t="n"/>
      <c r="D275" s="6" t="n"/>
      <c r="E275" s="6" t="n"/>
      <c r="F275" s="6" t="n"/>
      <c r="G275" s="6" t="n"/>
      <c r="H275" s="6" t="n"/>
    </row>
    <row r="276">
      <c r="A276" s="6" t="n"/>
      <c r="B276" s="6" t="n"/>
      <c r="C276" s="6" t="n"/>
      <c r="D276" s="6" t="n"/>
      <c r="E276" s="6" t="n"/>
      <c r="F276" s="6" t="n"/>
      <c r="G276" s="6" t="n"/>
      <c r="H276" s="6" t="n"/>
    </row>
    <row r="277">
      <c r="A277" s="6" t="n"/>
      <c r="B277" s="6" t="n"/>
      <c r="C277" s="6" t="n"/>
      <c r="D277" s="6" t="n"/>
      <c r="E277" s="6" t="n"/>
      <c r="F277" s="6" t="n"/>
      <c r="G277" s="6" t="n"/>
      <c r="H277" s="6" t="n"/>
    </row>
    <row r="278">
      <c r="A278" s="6" t="n"/>
      <c r="B278" s="6" t="n"/>
      <c r="C278" s="6" t="n"/>
      <c r="D278" s="6" t="n"/>
      <c r="E278" s="6" t="n"/>
      <c r="F278" s="6" t="n"/>
      <c r="G278" s="6" t="n"/>
      <c r="H278" s="6" t="n"/>
    </row>
    <row r="279">
      <c r="A279" s="6" t="n"/>
      <c r="B279" s="6" t="n"/>
      <c r="C279" s="6" t="n"/>
      <c r="D279" s="6" t="n"/>
      <c r="E279" s="6" t="n"/>
      <c r="F279" s="6" t="n"/>
      <c r="G279" s="6" t="n"/>
      <c r="H279" s="6" t="n"/>
    </row>
    <row r="280">
      <c r="A280" s="6" t="n"/>
      <c r="B280" s="6" t="n"/>
      <c r="C280" s="6" t="n"/>
      <c r="D280" s="6" t="n"/>
      <c r="E280" s="6" t="n"/>
      <c r="F280" s="6" t="n"/>
      <c r="G280" s="6" t="n"/>
      <c r="H280" s="6" t="n"/>
    </row>
    <row r="281">
      <c r="A281" s="6" t="n"/>
      <c r="B281" s="6" t="n"/>
      <c r="C281" s="6" t="n"/>
      <c r="D281" s="6" t="n"/>
      <c r="E281" s="6" t="n"/>
      <c r="F281" s="6" t="n"/>
      <c r="G281" s="6" t="n"/>
      <c r="H281" s="6" t="n"/>
    </row>
    <row r="282">
      <c r="A282" s="6" t="n"/>
      <c r="B282" s="6" t="n"/>
      <c r="C282" s="6" t="n"/>
      <c r="D282" s="6" t="n"/>
      <c r="E282" s="6" t="n"/>
      <c r="F282" s="6" t="n"/>
      <c r="G282" s="6" t="n"/>
      <c r="H282" s="6" t="n"/>
    </row>
    <row r="283">
      <c r="A283" s="6" t="n"/>
      <c r="B283" s="6" t="n"/>
      <c r="C283" s="6" t="n"/>
      <c r="D283" s="6" t="n"/>
      <c r="E283" s="6" t="n"/>
      <c r="F283" s="6" t="n"/>
      <c r="G283" s="6" t="n"/>
      <c r="H283" s="6" t="n"/>
    </row>
    <row r="284">
      <c r="A284" s="6" t="n"/>
      <c r="B284" s="6" t="n"/>
      <c r="C284" s="6" t="n"/>
      <c r="D284" s="6" t="n"/>
      <c r="E284" s="6" t="n"/>
      <c r="F284" s="6" t="n"/>
      <c r="G284" s="6" t="n"/>
      <c r="H284" s="6" t="n"/>
    </row>
    <row r="285">
      <c r="A285" s="6" t="n"/>
      <c r="B285" s="6" t="n"/>
      <c r="C285" s="6" t="n"/>
      <c r="D285" s="6" t="n"/>
      <c r="E285" s="6" t="n"/>
      <c r="F285" s="6" t="n"/>
      <c r="G285" s="6" t="n"/>
      <c r="H285" s="6" t="n"/>
    </row>
    <row r="286">
      <c r="A286" s="6" t="n"/>
      <c r="B286" s="6" t="n"/>
      <c r="C286" s="6" t="n"/>
      <c r="D286" s="6" t="n"/>
      <c r="E286" s="6" t="n"/>
      <c r="F286" s="6" t="n"/>
      <c r="G286" s="6" t="n"/>
      <c r="H286" s="6" t="n"/>
    </row>
    <row r="287">
      <c r="A287" s="6" t="n"/>
      <c r="B287" s="6" t="n"/>
      <c r="C287" s="6" t="n"/>
      <c r="D287" s="6" t="n"/>
      <c r="E287" s="6" t="n"/>
      <c r="F287" s="6" t="n"/>
      <c r="G287" s="6" t="n"/>
      <c r="H287" s="6" t="n"/>
    </row>
    <row r="288">
      <c r="A288" s="6" t="n"/>
      <c r="B288" s="6" t="n"/>
      <c r="C288" s="6" t="n"/>
      <c r="D288" s="6" t="n"/>
      <c r="E288" s="6" t="n"/>
      <c r="F288" s="6" t="n"/>
      <c r="G288" s="6" t="n"/>
      <c r="H288" s="6" t="n"/>
    </row>
    <row r="289">
      <c r="A289" s="6" t="n"/>
      <c r="B289" s="6" t="n"/>
      <c r="C289" s="6" t="n"/>
      <c r="D289" s="6" t="n"/>
      <c r="E289" s="6" t="n"/>
      <c r="F289" s="6" t="n"/>
      <c r="G289" s="6" t="n"/>
      <c r="H289" s="6" t="n"/>
    </row>
    <row r="290">
      <c r="A290" s="6" t="n"/>
      <c r="B290" s="6" t="n"/>
      <c r="C290" s="6" t="n"/>
      <c r="D290" s="6" t="n"/>
      <c r="E290" s="6" t="n"/>
      <c r="F290" s="6" t="n"/>
      <c r="G290" s="6" t="n"/>
      <c r="H290" s="6" t="n"/>
    </row>
    <row r="291">
      <c r="A291" s="6" t="n"/>
      <c r="B291" s="6" t="n"/>
      <c r="C291" s="6" t="n"/>
      <c r="D291" s="6" t="n"/>
      <c r="E291" s="6" t="n"/>
      <c r="F291" s="6" t="n"/>
      <c r="G291" s="6" t="n"/>
      <c r="H291" s="6" t="n"/>
    </row>
    <row r="292">
      <c r="A292" s="6" t="n"/>
      <c r="B292" s="6" t="n"/>
      <c r="C292" s="6" t="n"/>
      <c r="D292" s="6" t="n"/>
      <c r="E292" s="6" t="n"/>
      <c r="F292" s="6" t="n"/>
      <c r="G292" s="6" t="n"/>
      <c r="H292" s="6" t="n"/>
    </row>
    <row r="293">
      <c r="A293" s="6" t="n"/>
      <c r="B293" s="6" t="n"/>
      <c r="C293" s="6" t="n"/>
      <c r="D293" s="6" t="n"/>
      <c r="E293" s="6" t="n"/>
      <c r="F293" s="6" t="n"/>
      <c r="G293" s="6" t="n"/>
      <c r="H293" s="6" t="n"/>
    </row>
    <row r="294">
      <c r="A294" s="6" t="n"/>
      <c r="B294" s="6" t="n"/>
      <c r="C294" s="6" t="n"/>
      <c r="D294" s="6" t="n"/>
      <c r="E294" s="6" t="n"/>
      <c r="F294" s="6" t="n"/>
      <c r="G294" s="6" t="n"/>
      <c r="H294" s="6" t="n"/>
    </row>
    <row r="295">
      <c r="A295" s="6" t="n"/>
      <c r="B295" s="6" t="n"/>
      <c r="C295" s="6" t="n"/>
      <c r="D295" s="6" t="n"/>
      <c r="E295" s="6" t="n"/>
      <c r="F295" s="6" t="n"/>
      <c r="G295" s="6" t="n"/>
      <c r="H295" s="6" t="n"/>
    </row>
    <row r="296">
      <c r="A296" s="6" t="n"/>
      <c r="B296" s="6" t="n"/>
      <c r="C296" s="6" t="n"/>
      <c r="D296" s="6" t="n"/>
      <c r="E296" s="6" t="n"/>
      <c r="F296" s="6" t="n"/>
      <c r="G296" s="6" t="n"/>
      <c r="H296" s="6" t="n"/>
    </row>
    <row r="297">
      <c r="A297" s="6" t="n"/>
      <c r="B297" s="6" t="n"/>
      <c r="C297" s="6" t="n"/>
      <c r="D297" s="6" t="n"/>
      <c r="E297" s="6" t="n"/>
      <c r="F297" s="6" t="n"/>
      <c r="G297" s="6" t="n"/>
      <c r="H297" s="6" t="n"/>
    </row>
    <row r="298">
      <c r="A298" s="6" t="n"/>
      <c r="B298" s="6" t="n"/>
      <c r="C298" s="6" t="n"/>
      <c r="D298" s="6" t="n"/>
      <c r="E298" s="6" t="n"/>
      <c r="F298" s="6" t="n"/>
      <c r="G298" s="6" t="n"/>
      <c r="H298" s="6" t="n"/>
    </row>
    <row r="299">
      <c r="A299" s="6" t="n"/>
      <c r="B299" s="6" t="n"/>
      <c r="C299" s="6" t="n"/>
      <c r="D299" s="6" t="n"/>
      <c r="E299" s="6" t="n"/>
      <c r="F299" s="6" t="n"/>
      <c r="G299" s="6" t="n"/>
      <c r="H299" s="6" t="n"/>
    </row>
  </sheetData>
  <autoFilter ref="A1:H300"/>
  <conditionalFormatting sqref="D2:D300">
    <cfRule type="cellIs" priority="1" operator="equal" dxfId="0">
      <formula>"Must"</formula>
    </cfRule>
    <cfRule type="cellIs" priority="2" operator="equal" dxfId="1">
      <formula>"Should"</formula>
    </cfRule>
    <cfRule type="cellIs" priority="3" operator="equal" dxfId="2">
      <formula>"Could"</formula>
    </cfRule>
    <cfRule type="cellIs" priority="4" operator="equal" dxfId="3">
      <formula>"Won't"</formula>
    </cfRule>
  </conditionalFormatting>
  <conditionalFormatting sqref="A2:H300">
    <cfRule type="expression" priority="5" dxfId="4">
      <formula>$E2="Done"</formula>
    </cfRule>
  </conditionalFormatting>
  <dataValidations count="3">
    <dataValidation sqref="D2:D300" showDropDown="0" showInputMessage="0" showErrorMessage="0" allowBlank="1" type="list">
      <formula1>"Must,Should,Could,Won't"</formula1>
    </dataValidation>
    <dataValidation sqref="E2:E300" showDropDown="0" showInputMessage="0" showErrorMessage="0" allowBlank="1" type="list">
      <formula1>"Done,In progress,Not started,Parked"</formula1>
    </dataValidation>
    <dataValidation sqref="H2:H300" showDropDown="0" showInputMessage="0" showErrorMessage="0" allowBlank="1" type="list">
      <formula1>"Owner,Claude (proposed)"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7" t="inlineStr">
        <is>
          <t>Scope at a glance</t>
        </is>
      </c>
    </row>
    <row r="2">
      <c r="A2" s="8" t="inlineStr">
        <is>
          <t>Counts update from the Scope sheet.</t>
        </is>
      </c>
    </row>
    <row r="4">
      <c r="A4" s="9" t="inlineStr">
        <is>
          <t>Priority</t>
        </is>
      </c>
      <c r="B4" s="9" t="inlineStr">
        <is>
          <t>Done</t>
        </is>
      </c>
      <c r="C4" s="9" t="inlineStr">
        <is>
          <t>In progress</t>
        </is>
      </c>
      <c r="D4" s="9" t="inlineStr">
        <is>
          <t>Not started</t>
        </is>
      </c>
      <c r="E4" s="9" t="inlineStr">
        <is>
          <t>Parked</t>
        </is>
      </c>
      <c r="F4" s="9" t="inlineStr">
        <is>
          <t>Total</t>
        </is>
      </c>
      <c r="G4" s="9" t="inlineStr">
        <is>
          <t>Done %</t>
        </is>
      </c>
    </row>
    <row r="5">
      <c r="A5" s="10" t="inlineStr">
        <is>
          <t>Must</t>
        </is>
      </c>
      <c r="B5" s="10">
        <f>COUNTIFS(Scope!$D$2:$D$300,$A5,Scope!$E$2:$E$300,B$4)</f>
        <v/>
      </c>
      <c r="C5" s="10">
        <f>COUNTIFS(Scope!$D$2:$D$300,$A5,Scope!$E$2:$E$300,C$4)</f>
        <v/>
      </c>
      <c r="D5" s="10">
        <f>COUNTIFS(Scope!$D$2:$D$300,$A5,Scope!$E$2:$E$300,D$4)</f>
        <v/>
      </c>
      <c r="E5" s="10">
        <f>COUNTIFS(Scope!$D$2:$D$300,$A5,Scope!$E$2:$E$300,E$4)</f>
        <v/>
      </c>
      <c r="F5" s="10">
        <f>SUM(B5:E5)</f>
        <v/>
      </c>
      <c r="G5" s="11">
        <f>IF(F5=0,0,B5/F5)</f>
        <v/>
      </c>
    </row>
    <row r="6">
      <c r="A6" s="10" t="inlineStr">
        <is>
          <t>Should</t>
        </is>
      </c>
      <c r="B6" s="10">
        <f>COUNTIFS(Scope!$D$2:$D$300,$A6,Scope!$E$2:$E$300,B$4)</f>
        <v/>
      </c>
      <c r="C6" s="10">
        <f>COUNTIFS(Scope!$D$2:$D$300,$A6,Scope!$E$2:$E$300,C$4)</f>
        <v/>
      </c>
      <c r="D6" s="10">
        <f>COUNTIFS(Scope!$D$2:$D$300,$A6,Scope!$E$2:$E$300,D$4)</f>
        <v/>
      </c>
      <c r="E6" s="10">
        <f>COUNTIFS(Scope!$D$2:$D$300,$A6,Scope!$E$2:$E$300,E$4)</f>
        <v/>
      </c>
      <c r="F6" s="10">
        <f>SUM(B6:E6)</f>
        <v/>
      </c>
      <c r="G6" s="11">
        <f>IF(F6=0,0,B6/F6)</f>
        <v/>
      </c>
    </row>
    <row r="7">
      <c r="A7" s="10" t="inlineStr">
        <is>
          <t>Could</t>
        </is>
      </c>
      <c r="B7" s="10">
        <f>COUNTIFS(Scope!$D$2:$D$300,$A7,Scope!$E$2:$E$300,B$4)</f>
        <v/>
      </c>
      <c r="C7" s="10">
        <f>COUNTIFS(Scope!$D$2:$D$300,$A7,Scope!$E$2:$E$300,C$4)</f>
        <v/>
      </c>
      <c r="D7" s="10">
        <f>COUNTIFS(Scope!$D$2:$D$300,$A7,Scope!$E$2:$E$300,D$4)</f>
        <v/>
      </c>
      <c r="E7" s="10">
        <f>COUNTIFS(Scope!$D$2:$D$300,$A7,Scope!$E$2:$E$300,E$4)</f>
        <v/>
      </c>
      <c r="F7" s="10">
        <f>SUM(B7:E7)</f>
        <v/>
      </c>
      <c r="G7" s="11">
        <f>IF(F7=0,0,B7/F7)</f>
        <v/>
      </c>
    </row>
    <row r="8">
      <c r="A8" s="10" t="inlineStr">
        <is>
          <t>Won't</t>
        </is>
      </c>
      <c r="B8" s="10">
        <f>COUNTIFS(Scope!$D$2:$D$300,$A8,Scope!$E$2:$E$300,B$4)</f>
        <v/>
      </c>
      <c r="C8" s="10">
        <f>COUNTIFS(Scope!$D$2:$D$300,$A8,Scope!$E$2:$E$300,C$4)</f>
        <v/>
      </c>
      <c r="D8" s="10">
        <f>COUNTIFS(Scope!$D$2:$D$300,$A8,Scope!$E$2:$E$300,D$4)</f>
        <v/>
      </c>
      <c r="E8" s="10">
        <f>COUNTIFS(Scope!$D$2:$D$300,$A8,Scope!$E$2:$E$300,E$4)</f>
        <v/>
      </c>
      <c r="F8" s="10">
        <f>SUM(B8:E8)</f>
        <v/>
      </c>
      <c r="G8" s="11">
        <f>IF(F8=0,0,B8/F8)</f>
        <v/>
      </c>
    </row>
    <row r="9">
      <c r="A9" s="12" t="inlineStr">
        <is>
          <t>Total</t>
        </is>
      </c>
      <c r="B9" s="12">
        <f>SUM(B5:B8)</f>
        <v/>
      </c>
      <c r="C9" s="12">
        <f>SUM(C5:C8)</f>
        <v/>
      </c>
      <c r="D9" s="12">
        <f>SUM(D5:D8)</f>
        <v/>
      </c>
      <c r="E9" s="12">
        <f>SUM(E5:E8)</f>
        <v/>
      </c>
      <c r="F9" s="12">
        <f>SUM(F5:F8)</f>
        <v/>
      </c>
      <c r="G9" s="13">
        <f>IF(F9=0,0,B9/F9)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0" t="inlineStr">
        <is>
          <t>Open Musts (not done)</t>
        </is>
      </c>
      <c r="B11" s="10">
        <f>COUNTIFS(Scope!$D$2:$D$300,"Must",Scope!$E$2:$E$300,"&lt;&gt;Done")</f>
        <v/>
      </c>
      <c r="C11" s="10" t="n"/>
      <c r="D11" s="10" t="n"/>
      <c r="E11" s="10" t="n"/>
      <c r="F11" s="10" t="n"/>
      <c r="G11" s="10" t="n"/>
    </row>
    <row r="12">
      <c r="A12" s="10" t="inlineStr">
        <is>
          <t>Proposals awaiting the owner</t>
        </is>
      </c>
      <c r="B12" s="10">
        <f>COUNTIF(Scope!$H$2:$H$300,"Claude (proposed)")</f>
        <v/>
      </c>
      <c r="C12" s="10" t="n"/>
      <c r="D12" s="10" t="n"/>
      <c r="E12" s="10" t="n"/>
      <c r="F12" s="10" t="n"/>
      <c r="G12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2026-09-24T19:48:14Z</dcterms:created>
  <dcterms:modified xsi:type="dcterms:W3CDTF">2026-09-26T12:55:46Z</dcterms:modified>
</cp:coreProperties>
</file>